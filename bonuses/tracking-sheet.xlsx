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היעדים שלי" sheetId="1" state="visible" r:id="rId1"/>
    <sheet name="טבלאות" sheetId="2" state="hidden" r:id="rId2"/>
    <sheet name="שקילות יומיות" sheetId="3" state="visible" r:id="rId3"/>
    <sheet name="היקפים" sheetId="4" state="visible" r:id="rId4"/>
    <sheet name="משקלי עבוד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17">
    <font>
      <name val="Calibri"/>
      <color rgb="FF000000"/>
      <sz val="11"/>
      <scheme val="minor"/>
    </font>
    <font>
      <name val="Calibri"/>
      <color theme="1"/>
    </font>
    <font>
      <name val="Calibri"/>
      <color theme="1"/>
      <sz val="11"/>
    </font>
    <font>
      <name val="Arimo"/>
      <color rgb="FFFFFFFF"/>
      <sz val="24"/>
    </font>
    <font/>
    <font>
      <name val="Arimo"/>
      <b val="1"/>
      <color theme="1"/>
      <sz val="14"/>
      <u val="single"/>
    </font>
    <font>
      <name val="Arimo"/>
      <color rgb="FF3A3838"/>
      <sz val="11"/>
    </font>
    <font>
      <name val="Arimo"/>
      <b val="1"/>
      <color rgb="FF3A3838"/>
      <sz val="11"/>
    </font>
    <font>
      <name val="Arial"/>
      <color rgb="FF000000"/>
      <sz val="11"/>
    </font>
    <font>
      <name val="Arimo"/>
      <color rgb="FF000000"/>
      <sz val="11"/>
    </font>
    <font>
      <name val="Arimo"/>
      <b val="1"/>
      <color rgb="FF000000"/>
      <sz val="14"/>
      <u val="single"/>
    </font>
    <font>
      <name val="Noto Sans"/>
      <color rgb="FF000000"/>
      <sz val="11"/>
    </font>
    <font>
      <name val="Arimo"/>
      <b val="1"/>
      <color rgb="FF3A3838"/>
      <sz val="14"/>
    </font>
    <font>
      <b val="1"/>
      <color rgb="00FF7A1A"/>
      <sz val="14"/>
    </font>
    <font>
      <b val="1"/>
    </font>
    <font>
      <color rgb="000000FF"/>
    </font>
    <font>
      <color rgb="00888888"/>
      <sz val="9"/>
    </font>
  </fonts>
  <fills count="4">
    <fill>
      <patternFill/>
    </fill>
    <fill>
      <patternFill patternType="lightGray"/>
    </fill>
    <fill>
      <patternFill patternType="solid">
        <fgColor rgb="FF026CB5"/>
        <bgColor rgb="FF026CB5"/>
      </patternFill>
    </fill>
    <fill>
      <patternFill patternType="solid">
        <fgColor rgb="00FFF3E8"/>
      </patternFill>
    </fill>
  </fills>
  <borders count="41">
    <border/>
    <border>
      <left/>
      <right/>
      <top/>
      <bottom/>
    </border>
    <border>
      <left/>
      <top/>
      <bottom/>
    </border>
    <border>
      <left/>
      <right/>
      <bottom/>
    </border>
    <border>
      <left/>
    </border>
    <border>
      <left/>
      <bottom/>
    </border>
    <border>
      <left/>
      <top/>
    </border>
    <border>
      <top/>
    </border>
    <border>
      <left style="thick">
        <color rgb="FF026CB5"/>
      </left>
      <top style="thick">
        <color rgb="FF026CB5"/>
      </top>
    </border>
    <border>
      <top style="thick">
        <color rgb="FF026CB5"/>
      </top>
    </border>
    <border>
      <right style="thick">
        <color rgb="FF026CB5"/>
      </right>
      <top style="thick">
        <color rgb="FF026CB5"/>
      </top>
    </border>
    <border>
      <left style="thick">
        <color rgb="FF026CB5"/>
      </left>
    </border>
    <border>
      <right style="thick">
        <color rgb="FF026CB5"/>
      </right>
    </border>
    <border>
      <right style="hair">
        <color rgb="FFFFFFFF"/>
      </right>
      <bottom style="hair">
        <color rgb="FFFFFFFF"/>
      </bottom>
    </border>
    <border>
      <left style="hair">
        <color rgb="FFFFFFFF"/>
      </left>
      <bottom style="hair">
        <color rgb="FFFFFFFF"/>
      </bottom>
    </border>
    <border>
      <left style="thick">
        <color rgb="FF026CB5"/>
      </left>
      <bottom style="hair">
        <color rgb="FFFFFFFF"/>
      </bottom>
    </border>
    <border>
      <bottom style="hair">
        <color rgb="FFFFFFFF"/>
      </bottom>
    </border>
    <border>
      <right style="thick">
        <color rgb="FF026CB5"/>
      </right>
      <bottom style="hair">
        <color rgb="FFFFFFFF"/>
      </bottom>
    </border>
    <border>
      <left style="thick">
        <color rgb="FF026CB5"/>
      </lef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right style="thick">
        <color rgb="FF026CB5"/>
      </right>
      <top style="hair">
        <color rgb="FFFFFFFF"/>
      </top>
      <bottom style="hair">
        <color rgb="FFFFFFFF"/>
      </bottom>
    </border>
    <border>
      <left style="thick">
        <color rgb="FF026CB5"/>
      </left>
      <top style="hair">
        <color rgb="FFFFFFFF"/>
      </top>
    </border>
    <border>
      <top style="hair">
        <color rgb="FFFFFFFF"/>
      </top>
    </border>
    <border>
      <right style="thick">
        <color rgb="FF026CB5"/>
      </right>
      <top style="hair">
        <color rgb="FFFFFFFF"/>
      </top>
    </border>
    <border>
      <left style="thick">
        <color rgb="FF026CB5"/>
      </left>
      <top style="hair">
        <color rgb="FFFFFFFF"/>
      </top>
      <bottom style="thick">
        <color rgb="FF026CB5"/>
      </bottom>
    </border>
    <border>
      <top style="hair">
        <color rgb="FFFFFFFF"/>
      </top>
      <bottom style="thick">
        <color rgb="FF026CB5"/>
      </bottom>
    </border>
    <border>
      <right style="thick">
        <color rgb="FF026CB5"/>
      </right>
      <top style="hair">
        <color rgb="FFFFFFFF"/>
      </top>
      <bottom style="thick">
        <color rgb="FF026CB5"/>
      </bottom>
    </border>
    <border>
      <top style="medium">
        <color rgb="FF026CB5"/>
      </top>
      <bottom style="medium">
        <color rgb="FF026CB5"/>
      </bottom>
    </border>
    <border>
      <right style="medium">
        <color rgb="FF026CB5"/>
      </right>
      <top style="medium">
        <color rgb="FF026CB5"/>
      </top>
      <bottom style="medium">
        <color rgb="FF026CB5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026CB5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ck">
        <color rgb="FF026CB5"/>
      </right>
      <top style="hair">
        <color rgb="FFFFFFFF"/>
      </top>
      <bottom style="hair">
        <color rgb="FFFFFFFF"/>
      </bottom>
    </border>
    <border>
      <left style="medium">
        <color rgb="FF026CB5"/>
      </left>
      <top style="medium">
        <color rgb="FF026CB5"/>
      </top>
      <bottom style="medium">
        <color rgb="FF026CB5"/>
      </bottom>
    </border>
    <border>
      <left style="thick">
        <color rgb="FF026CB5"/>
      </left>
      <right style="thick">
        <color rgb="FF026CB5"/>
      </right>
    </border>
    <border>
      <left style="thick">
        <color rgb="FF026CB5"/>
      </left>
      <right style="thick">
        <color rgb="FF026CB5"/>
      </right>
      <bottom style="hair">
        <color rgb="FFFFFFFF"/>
      </bottom>
    </border>
    <border>
      <left style="thick">
        <color rgb="FF026CB5"/>
      </left>
      <right style="thick">
        <color rgb="FF026CB5"/>
      </right>
      <top style="hair">
        <color rgb="FFFFFFFF"/>
      </top>
      <bottom style="hair">
        <color rgb="FFFFFFFF"/>
      </bottom>
    </border>
    <border>
      <left style="thick">
        <color rgb="FF026CB5"/>
      </left>
      <right style="thick">
        <color rgb="FF026CB5"/>
      </right>
      <top style="hair">
        <color rgb="FFFFFFFF"/>
      </top>
    </border>
    <border>
      <left style="thick">
        <color rgb="FF026CB5"/>
      </left>
      <right style="thick">
        <color rgb="FF026CB5"/>
      </right>
      <top style="hair">
        <color rgb="FFFFFFFF"/>
      </top>
      <bottom style="thick">
        <color rgb="FF026CB5"/>
      </bottom>
    </border>
    <border>
      <left style="thick">
        <color rgb="FF026CB5"/>
      </left>
      <right style="thick">
        <color rgb="FF026CB5"/>
      </right>
      <top style="thick">
        <color rgb="FF026CB5"/>
      </top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2" fillId="2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2" fillId="2" borderId="5" applyAlignment="1" pivotButton="0" quotePrefix="0" xfId="0">
      <alignment vertical="bottom"/>
    </xf>
    <xf numFmtId="0" fontId="4" fillId="0" borderId="4" pivotButton="0" quotePrefix="0" xfId="0"/>
    <xf numFmtId="0" fontId="5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164" fontId="2" fillId="0" borderId="0" applyAlignment="1" pivotButton="0" quotePrefix="0" xfId="0">
      <alignment vertical="bottom"/>
    </xf>
    <xf numFmtId="164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right" vertical="bottom"/>
    </xf>
    <xf numFmtId="1" fontId="6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4" fontId="2" fillId="0" borderId="0" applyAlignment="1" pivotButton="0" quotePrefix="0" xfId="0">
      <alignment vertical="bottom"/>
    </xf>
    <xf numFmtId="164" fontId="2" fillId="2" borderId="5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8" fillId="2" borderId="1" pivotButton="0" quotePrefix="0" xfId="0"/>
    <xf numFmtId="0" fontId="2" fillId="2" borderId="0" applyAlignment="1" pivotButton="0" quotePrefix="0" xfId="0">
      <alignment vertical="bottom"/>
    </xf>
    <xf numFmtId="0" fontId="1" fillId="2" borderId="0" pivotButton="0" quotePrefix="0" xfId="0"/>
    <xf numFmtId="0" fontId="3" fillId="2" borderId="6" applyAlignment="1" pivotButton="0" quotePrefix="0" xfId="0">
      <alignment horizontal="right"/>
    </xf>
    <xf numFmtId="0" fontId="4" fillId="0" borderId="7" pivotButton="0" quotePrefix="0" xfId="0"/>
    <xf numFmtId="0" fontId="9" fillId="0" borderId="0" pivotButton="0" quotePrefix="0" xfId="0"/>
    <xf numFmtId="0" fontId="10" fillId="0" borderId="8" applyAlignment="1" pivotButton="0" quotePrefix="0" xfId="0">
      <alignment horizontal="center"/>
    </xf>
    <xf numFmtId="0" fontId="4" fillId="0" borderId="9" pivotButton="0" quotePrefix="0" xfId="0"/>
    <xf numFmtId="0" fontId="4" fillId="0" borderId="10" pivotButton="0" quotePrefix="0" xfId="0"/>
    <xf numFmtId="0" fontId="8" fillId="0" borderId="0" pivotButton="0" quotePrefix="0" xfId="0"/>
    <xf numFmtId="0" fontId="11" fillId="0" borderId="0" pivotButton="0" quotePrefix="0" xfId="0"/>
    <xf numFmtId="0" fontId="1" fillId="0" borderId="11" applyAlignment="1" pivotButton="0" quotePrefix="0" xfId="0">
      <alignment horizontal="center"/>
    </xf>
    <xf numFmtId="0" fontId="4" fillId="0" borderId="12" pivotButton="0" quotePrefix="0" xfId="0"/>
    <xf numFmtId="0" fontId="1" fillId="0" borderId="11" applyAlignment="1" pivotButton="0" quotePrefix="0" xfId="0">
      <alignment horizontal="center"/>
    </xf>
    <xf numFmtId="0" fontId="1" fillId="0" borderId="11" pivotButton="0" quotePrefix="0" xfId="0"/>
    <xf numFmtId="0" fontId="9" fillId="0" borderId="13" pivotButton="0" quotePrefix="0" xfId="0"/>
    <xf numFmtId="0" fontId="9" fillId="0" borderId="14" pivotButton="0" quotePrefix="0" xfId="0"/>
    <xf numFmtId="0" fontId="9" fillId="0" borderId="12" pivotButton="0" quotePrefix="0" xfId="0"/>
    <xf numFmtId="164" fontId="6" fillId="0" borderId="15" applyAlignment="1" pivotButton="0" quotePrefix="0" xfId="0">
      <alignment horizontal="center"/>
    </xf>
    <xf numFmtId="0" fontId="4" fillId="0" borderId="16" pivotButton="0" quotePrefix="0" xfId="0"/>
    <xf numFmtId="0" fontId="4" fillId="0" borderId="17" pivotButton="0" quotePrefix="0" xfId="0"/>
    <xf numFmtId="164" fontId="6" fillId="0" borderId="18" applyAlignment="1" pivotButton="0" quotePrefix="0" xfId="0">
      <alignment horizontal="center"/>
    </xf>
    <xf numFmtId="0" fontId="4" fillId="0" borderId="19" pivotButton="0" quotePrefix="0" xfId="0"/>
    <xf numFmtId="0" fontId="4" fillId="0" borderId="20" pivotButton="0" quotePrefix="0" xfId="0"/>
    <xf numFmtId="164" fontId="6" fillId="0" borderId="21" applyAlignment="1" pivotButton="0" quotePrefix="0" xfId="0">
      <alignment horizontal="center"/>
    </xf>
    <xf numFmtId="0" fontId="4" fillId="0" borderId="22" pivotButton="0" quotePrefix="0" xfId="0"/>
    <xf numFmtId="0" fontId="4" fillId="0" borderId="23" pivotButton="0" quotePrefix="0" xfId="0"/>
    <xf numFmtId="164" fontId="7" fillId="0" borderId="24" applyAlignment="1" pivotButton="0" quotePrefix="0" xfId="0">
      <alignment horizontal="center"/>
    </xf>
    <xf numFmtId="0" fontId="4" fillId="0" borderId="25" pivotButton="0" quotePrefix="0" xfId="0"/>
    <xf numFmtId="0" fontId="4" fillId="0" borderId="26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27" applyAlignment="1" pivotButton="0" quotePrefix="0" xfId="0">
      <alignment horizontal="right"/>
    </xf>
    <xf numFmtId="0" fontId="7" fillId="0" borderId="27" applyAlignment="1" pivotButton="0" quotePrefix="0" xfId="0">
      <alignment horizontal="center"/>
    </xf>
    <xf numFmtId="0" fontId="7" fillId="0" borderId="28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4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right"/>
    </xf>
    <xf numFmtId="0" fontId="1" fillId="0" borderId="29" applyAlignment="1" pivotButton="0" quotePrefix="0" xfId="0">
      <alignment horizontal="center"/>
    </xf>
    <xf numFmtId="0" fontId="1" fillId="0" borderId="30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64" fontId="6" fillId="0" borderId="15" applyAlignment="1" pivotButton="0" quotePrefix="0" xfId="0">
      <alignment horizontal="right"/>
    </xf>
    <xf numFmtId="164" fontId="6" fillId="0" borderId="16" applyAlignment="1" pivotButton="0" quotePrefix="0" xfId="0">
      <alignment horizontal="right"/>
    </xf>
    <xf numFmtId="164" fontId="6" fillId="0" borderId="17" applyAlignment="1" pivotButton="0" quotePrefix="0" xfId="0">
      <alignment horizontal="right"/>
    </xf>
    <xf numFmtId="164" fontId="6" fillId="0" borderId="31" applyAlignment="1" pivotButton="0" quotePrefix="0" xfId="0">
      <alignment horizontal="right"/>
    </xf>
    <xf numFmtId="0" fontId="9" fillId="0" borderId="32" pivotButton="0" quotePrefix="0" xfId="0"/>
    <xf numFmtId="0" fontId="9" fillId="0" borderId="33" pivotButton="0" quotePrefix="0" xfId="0"/>
    <xf numFmtId="0" fontId="7" fillId="0" borderId="34" applyAlignment="1" pivotButton="0" quotePrefix="0" xfId="0">
      <alignment horizontal="right"/>
    </xf>
    <xf numFmtId="0" fontId="7" fillId="0" borderId="28" applyAlignment="1" pivotButton="0" quotePrefix="0" xfId="0">
      <alignment horizontal="right"/>
    </xf>
    <xf numFmtId="0" fontId="0" fillId="0" borderId="0" pivotButton="0" quotePrefix="0" xfId="0"/>
    <xf numFmtId="0" fontId="13" fillId="0" borderId="0" pivotButton="0" quotePrefix="0" xfId="0"/>
    <xf numFmtId="0" fontId="0" fillId="3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9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4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/>
    </xf>
    <xf numFmtId="0" fontId="0" fillId="0" borderId="12" pivotButton="0" quotePrefix="0" xfId="0"/>
    <xf numFmtId="164" fontId="6" fillId="0" borderId="36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164" fontId="6" fillId="0" borderId="37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164" fontId="6" fillId="0" borderId="38" applyAlignment="1" pivotButton="0" quotePrefix="0" xfId="0">
      <alignment horizontal="center"/>
    </xf>
    <xf numFmtId="0" fontId="0" fillId="0" borderId="22" pivotButton="0" quotePrefix="0" xfId="0"/>
    <xf numFmtId="0" fontId="0" fillId="0" borderId="23" pivotButton="0" quotePrefix="0" xfId="0"/>
    <xf numFmtId="164" fontId="7" fillId="0" borderId="39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1" defaultTableStyle="TableStyleMedium9" defaultPivotStyle="PivotStyleLight16">
    <tableStyle name="שקילות יומיות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r>
              <a:rPr b="0" i="0">
                <a:solidFill>
                  <a:srgbClr val="000000"/>
                </a:solidFill>
                <a:latin typeface="Comic Sans MS"/>
              </a:rPr>
              <a:t>תרשים התקדמות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'היקפים'!$C$22</f>
            </strRef>
          </tx>
          <spPr>
            <a:ln cmpd="sng">
              <a:solidFill>
                <a:srgbClr val="5B9BD5"/>
              </a:solidFill>
              <a:prstDash val="solid"/>
            </a:ln>
          </spPr>
          <marker>
            <symbol val="circle"/>
            <size val="10"/>
            <spPr>
              <a:solidFill>
                <a:srgbClr val="5B9BD5"/>
              </a:solidFill>
              <a:ln cmpd="sng">
                <a:solidFill>
                  <a:srgbClr val="5B9BD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'היקפים'!$C$23:$C$29</f>
              <numCache/>
            </numRef>
          </val>
          <smooth val="0"/>
        </ser>
        <ser>
          <idx val="1"/>
          <order val="1"/>
          <tx>
            <strRef>
              <f>'היקפים'!$D$22</f>
            </strRef>
          </tx>
          <spPr>
            <a:ln cmpd="sng">
              <a:solidFill>
                <a:srgbClr val="ED7D31"/>
              </a:solidFill>
              <a:prstDash val="solid"/>
            </a:ln>
          </spPr>
          <marker>
            <symbol val="circle"/>
            <size val="10"/>
            <spPr>
              <a:solidFill>
                <a:srgbClr val="ED7D31"/>
              </a:solidFill>
              <a:ln cmpd="sng">
                <a:solidFill>
                  <a:srgbClr val="ED7D31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'היקפים'!$D$23:$D$29</f>
              <numCache/>
            </numRef>
          </val>
          <smooth val="0"/>
        </ser>
        <ser>
          <idx val="2"/>
          <order val="2"/>
          <tx>
            <strRef>
              <f>'היקפים'!$E$22</f>
            </strRef>
          </tx>
          <spPr>
            <a:ln cmpd="sng">
              <a:solidFill>
                <a:srgbClr val="A5A5A5"/>
              </a:solidFill>
              <a:prstDash val="solid"/>
            </a:ln>
          </spPr>
          <marker>
            <symbol val="circle"/>
            <size val="10"/>
            <spPr>
              <a:solidFill>
                <a:srgbClr val="A5A5A5"/>
              </a:solidFill>
              <a:ln cmpd="sng">
                <a:solidFill>
                  <a:srgbClr val="A5A5A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'היקפים'!$E$23:$E$29</f>
              <numCache/>
            </numRef>
          </val>
          <smooth val="0"/>
        </ser>
        <ser>
          <idx val="3"/>
          <order val="3"/>
          <tx>
            <strRef>
              <f>'היקפים'!$H$22</f>
            </strRef>
          </tx>
          <spPr>
            <a:ln cmpd="sng">
              <a:solidFill>
                <a:srgbClr val="FFC000"/>
              </a:solidFill>
              <a:prstDash val="solid"/>
            </a:ln>
          </spPr>
          <marker>
            <symbol val="circle"/>
            <size val="10"/>
            <spPr>
              <a:solidFill>
                <a:srgbClr val="FFC000"/>
              </a:solidFill>
              <a:ln cmpd="sng">
                <a:solidFill>
                  <a:srgbClr val="FFC000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'היקפים'!$H$23</f>
              <numCache/>
            </numRef>
          </val>
          <smooth val="0"/>
        </ser>
        <ser>
          <idx val="4"/>
          <order val="4"/>
          <tx>
            <strRef>
              <f>'היקפים'!$I$22</f>
            </strRef>
          </tx>
          <spPr>
            <a:ln cmpd="sng">
              <a:solidFill>
                <a:srgbClr val="4472C4"/>
              </a:solidFill>
              <a:prstDash val="solid"/>
            </a:ln>
          </spPr>
          <marker>
            <symbol val="circle"/>
            <size val="10"/>
            <spPr>
              <a:solidFill>
                <a:srgbClr val="4472C4"/>
              </a:solidFill>
              <a:ln cmpd="sng">
                <a:solidFill>
                  <a:srgbClr val="4472C4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'היקפים'!$I$23</f>
              <numCache/>
            </numRef>
          </val>
          <smooth val="0"/>
        </ser>
        <axId val="200855316"/>
        <axId val="1088041952"/>
      </lineChart>
      <catAx>
        <axId val="20085531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i="0">
                    <a:solidFill>
                      <a:srgbClr val="000000"/>
                    </a:solidFill>
                    <a:latin typeface="Comic Sans MS"/>
                  </a:rPr>
                  <a:t>שינוי בין מדידות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r>
              <a:t/>
            </a:r>
          </a:p>
        </txPr>
        <crossAx val="1088041952"/>
        <lblOffset val="100"/>
      </catAx>
      <valAx>
        <axId val="1088041952"/>
        <scaling>
          <orientation val="minMax"/>
          <min val="20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i="0">
                    <a:solidFill>
                      <a:srgbClr val="000000"/>
                    </a:solidFill>
                    <a:latin typeface="Comic Sans MS"/>
                  </a:rPr>
                  <a:t>היקף - ס״מ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r>
              <a:t/>
            </a:r>
          </a:p>
        </txPr>
        <crossAx val="200855316"/>
      </valAx>
    </plotArea>
    <legend>
      <legendPos val="r"/>
      <layout>
        <manualLayout>
          <xMode val="edge"/>
          <yMode val="edge"/>
          <wMode val="factor"/>
          <hMode val="factor"/>
          <x val="0.8686147729390884"/>
          <y val="0.1301039346696362"/>
        </manualLayout>
      </layout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Comic Sans M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rPr b="0" i="0">
                <a:solidFill>
                  <a:srgbClr val="000000"/>
                </a:solidFill>
                <a:latin typeface="+mn-lt"/>
              </a:rPr>
              <a:t>תרשים התקדמות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strRef>
              <f>'משקלי עבודה'!$C$16</f>
            </strRef>
          </tx>
          <spPr>
            <a:ln cmpd="sng">
              <a:solidFill>
                <a:srgbClr val="5B9BD5"/>
              </a:solidFill>
              <a:prstDash val="solid"/>
            </a:ln>
          </spPr>
          <marker>
            <symbol val="circle"/>
            <size val="10"/>
            <spPr>
              <a:solidFill>
                <a:srgbClr val="5B9BD5"/>
              </a:solidFill>
              <a:ln cmpd="sng">
                <a:solidFill>
                  <a:srgbClr val="5B9BD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'משקלי עבודה'!$C$17:$C$23</f>
              <numCache/>
            </numRef>
          </val>
          <smooth val="0"/>
        </ser>
        <ser>
          <idx val="1"/>
          <order val="1"/>
          <tx>
            <strRef>
              <f>'משקלי עבודה'!$D$16</f>
            </strRef>
          </tx>
          <spPr>
            <a:ln cmpd="sng">
              <a:solidFill>
                <a:srgbClr val="ED7D31"/>
              </a:solidFill>
              <a:prstDash val="solid"/>
            </a:ln>
          </spPr>
          <marker>
            <symbol val="circle"/>
            <size val="10"/>
            <spPr>
              <a:solidFill>
                <a:srgbClr val="ED7D31"/>
              </a:solidFill>
              <a:ln cmpd="sng">
                <a:solidFill>
                  <a:srgbClr val="ED7D31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'משקלי עבודה'!$D$17:$D$23</f>
              <numCache/>
            </numRef>
          </val>
          <smooth val="0"/>
        </ser>
        <ser>
          <idx val="2"/>
          <order val="2"/>
          <tx>
            <strRef>
              <f>'משקלי עבודה'!$E$16</f>
            </strRef>
          </tx>
          <spPr>
            <a:ln cmpd="sng">
              <a:solidFill>
                <a:srgbClr val="A5A5A5"/>
              </a:solidFill>
              <a:prstDash val="solid"/>
            </a:ln>
          </spPr>
          <marker>
            <symbol val="circle"/>
            <size val="10"/>
            <spPr>
              <a:solidFill>
                <a:srgbClr val="A5A5A5"/>
              </a:solidFill>
              <a:ln cmpd="sng">
                <a:solidFill>
                  <a:srgbClr val="A5A5A5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'משקלי עבודה'!$E$17:$E$23</f>
              <numCache/>
            </numRef>
          </val>
          <smooth val="0"/>
        </ser>
        <ser>
          <idx val="3"/>
          <order val="3"/>
          <tx>
            <strRef>
              <f>'משקלי עבודה'!$H$16</f>
            </strRef>
          </tx>
          <spPr>
            <a:ln cmpd="sng">
              <a:solidFill>
                <a:srgbClr val="FFC000"/>
              </a:solidFill>
              <a:prstDash val="solid"/>
            </a:ln>
          </spPr>
          <marker>
            <symbol val="circle"/>
            <size val="10"/>
            <spPr>
              <a:solidFill>
                <a:srgbClr val="FFC000"/>
              </a:solidFill>
              <a:ln cmpd="sng">
                <a:solidFill>
                  <a:srgbClr val="FFC000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'משקלי עבודה'!$H$17:$H$19</f>
              <numCache/>
            </numRef>
          </val>
          <smooth val="0"/>
        </ser>
        <ser>
          <idx val="4"/>
          <order val="4"/>
          <tx>
            <strRef>
              <f>'משקלי עבודה'!$I$16</f>
            </strRef>
          </tx>
          <spPr>
            <a:ln cmpd="sng">
              <a:solidFill>
                <a:srgbClr val="FFD966"/>
              </a:solidFill>
              <a:prstDash val="solid"/>
            </a:ln>
          </spPr>
          <marker>
            <symbol val="circle"/>
            <size val="10"/>
            <spPr>
              <a:solidFill>
                <a:srgbClr val="FFD966"/>
              </a:solidFill>
              <a:ln cmpd="sng">
                <a:solidFill>
                  <a:srgbClr val="FFD966"/>
                </a:solidFill>
                <a:prstDash val="solid"/>
              </a:ln>
            </spPr>
          </marker>
          <dLbls>
            <numFmt formatCode="General"/>
            <txPr>
              <a:bodyPr/>
              <a:lstStyle/>
              <a:p>
                <a:pPr lvl="0">
                  <a:defRPr b="1" i="0"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'משקלי עבודה'!$I$17:$I$19</f>
              <numCache/>
            </numRef>
          </val>
          <smooth val="0"/>
        </ser>
        <axId val="499410991"/>
        <axId val="1513836295"/>
      </lineChart>
      <catAx>
        <axId val="49941099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שינוי בין מדידות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13836295"/>
        <lblOffset val="100"/>
      </catAx>
      <valAx>
        <axId val="1513836295"/>
        <scaling>
          <orientation val="minMax"/>
          <min val="30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משקל - ק״ג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99410991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14</row>
      <rowOff>161925</rowOff>
    </from>
    <ext cx="190500" cy="1905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0</colOff>
      <row>14</row>
      <rowOff>0</rowOff>
    </from>
    <ext cx="190500" cy="190500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19050</rowOff>
    </from>
    <ext cx="6886575" cy="42767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0</colOff>
      <row>21</row>
      <rowOff>180975</rowOff>
    </from>
    <ext cx="190500" cy="190500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247650</colOff>
      <row>6</row>
      <rowOff>171450</rowOff>
    </from>
    <ext cx="4029075" cy="1123950"/>
    <pic>
      <nvPicPr>
        <cNvPr id="0" name="image2.png" title="תמונה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171450</rowOff>
    </from>
    <ext cx="9658350" cy="59817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0</colOff>
      <row>15</row>
      <rowOff>180975</rowOff>
    </from>
    <ext cx="190500" cy="190500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" headerRowCount="0">
  <tableColumns count="1">
    <tableColumn id="1" name="Column1"/>
  </tableColumns>
  <tableStyleInfo name="שקילות יומיות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26" customWidth="1" style="81" min="1" max="1"/>
    <col width="12" customWidth="1" style="81" min="2" max="2"/>
    <col width="30" customWidth="1" style="81" min="3" max="3"/>
  </cols>
  <sheetData>
    <row r="1">
      <c r="A1" s="82" t="inlineStr">
        <is>
          <t>היעדים שלי — ממלאים פעם אחת בתחילת האתגר</t>
        </is>
      </c>
    </row>
    <row r="2">
      <c r="A2" s="83" t="inlineStr"/>
      <c r="B2" s="83" t="n"/>
      <c r="C2" s="83" t="n"/>
    </row>
    <row r="3">
      <c r="A3" s="84" t="inlineStr">
        <is>
          <t>משקל התחלה (ק"ג)</t>
        </is>
      </c>
      <c r="B3" s="85" t="n">
        <v>100</v>
      </c>
      <c r="C3" s="86" t="inlineStr">
        <is>
          <t>ממלאים כאן</t>
        </is>
      </c>
    </row>
    <row r="4">
      <c r="A4" s="84" t="inlineStr">
        <is>
          <t>אחוז שומן משוער</t>
        </is>
      </c>
      <c r="B4" s="87" t="n">
        <v>0.25</v>
      </c>
      <c r="C4" s="86" t="inlineStr">
        <is>
          <t>לא יודעים? אביאל עוזר לאמוד</t>
        </is>
      </c>
    </row>
    <row r="5">
      <c r="A5" s="84" t="inlineStr">
        <is>
          <t>LBM — מסת גוף רזה</t>
        </is>
      </c>
      <c r="B5" s="88">
        <f>B3*(1-B4)</f>
        <v/>
      </c>
      <c r="C5" s="86" t="inlineStr">
        <is>
          <t>מחושב לבד</t>
        </is>
      </c>
    </row>
    <row r="6">
      <c r="A6" s="84" t="inlineStr">
        <is>
          <t>יעד חלבון יומי (גרם)</t>
        </is>
      </c>
      <c r="B6" s="88">
        <f>ROUND(B5*2.2,0)</f>
        <v/>
      </c>
      <c r="C6" s="86" t="inlineStr">
        <is>
          <t>LBM × 2.2 — יום 5 באתגר</t>
        </is>
      </c>
    </row>
    <row r="7">
      <c r="A7" s="84" t="inlineStr">
        <is>
          <t>יעד קלוריות יומי</t>
        </is>
      </c>
      <c r="B7" s="88">
        <f>ROUND(B5*31,0)</f>
        <v/>
      </c>
      <c r="C7" s="86" t="inlineStr">
        <is>
          <t>LBM × 31 — יום 6 באתגר</t>
        </is>
      </c>
    </row>
    <row r="8">
      <c r="A8" s="84" t="inlineStr">
        <is>
          <t>יעד צעדים יומי</t>
        </is>
      </c>
      <c r="B8" s="85" t="n">
        <v>8000</v>
      </c>
      <c r="C8" s="86" t="inlineStr">
        <is>
          <t>קובעים ביום 4 באתגר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8"/>
  <sheetViews>
    <sheetView rightToLeft="1" workbookViewId="0">
      <selection activeCell="A1" sqref="A1"/>
    </sheetView>
  </sheetViews>
  <sheetFormatPr baseColWidth="8" defaultColWidth="14.43" defaultRowHeight="15" customHeight="1"/>
  <cols>
    <col width="10" customWidth="1" style="81" min="1" max="6"/>
    <col width="16.43" customWidth="1" style="81" min="7" max="26"/>
  </cols>
  <sheetData>
    <row r="1" ht="13.5" customHeight="1" s="81"/>
    <row r="2" ht="13.5" customHeight="1" s="81">
      <c r="A2" s="2" t="n">
        <v>1</v>
      </c>
      <c r="B2" s="2" t="inlineStr">
        <is>
          <t>א</t>
        </is>
      </c>
    </row>
    <row r="3" ht="13.5" customHeight="1" s="81">
      <c r="A3" s="2" t="n">
        <v>2</v>
      </c>
      <c r="B3" s="2" t="inlineStr">
        <is>
          <t>ב</t>
        </is>
      </c>
    </row>
    <row r="4" ht="13.5" customHeight="1" s="81">
      <c r="A4" s="2" t="n">
        <v>3</v>
      </c>
      <c r="B4" s="2" t="inlineStr">
        <is>
          <t>ג</t>
        </is>
      </c>
    </row>
    <row r="5" ht="13.5" customHeight="1" s="81">
      <c r="A5" s="2" t="n">
        <v>4</v>
      </c>
      <c r="B5" s="2" t="inlineStr">
        <is>
          <t>ד</t>
        </is>
      </c>
    </row>
    <row r="6" ht="13.5" customHeight="1" s="81">
      <c r="A6" s="2" t="n">
        <v>5</v>
      </c>
      <c r="B6" s="2" t="inlineStr">
        <is>
          <t>ה</t>
        </is>
      </c>
    </row>
    <row r="7" ht="14.25" customHeight="1" s="81">
      <c r="A7" s="2" t="n">
        <v>6</v>
      </c>
      <c r="B7" s="2" t="inlineStr">
        <is>
          <t>ו</t>
        </is>
      </c>
    </row>
    <row r="8" ht="13.5" customHeight="1" s="81">
      <c r="A8" s="2" t="n">
        <v>7</v>
      </c>
      <c r="B8" s="2" t="inlineStr">
        <is>
          <t>ש</t>
        </is>
      </c>
    </row>
    <row r="9" ht="13.5" customHeight="1" s="81"/>
    <row r="10" ht="13.5" customHeight="1" s="81"/>
    <row r="11" ht="13.5" customHeight="1" s="81"/>
    <row r="12" ht="13.5" customHeight="1" s="81"/>
    <row r="13" ht="13.5" customHeight="1" s="81"/>
    <row r="14" ht="13.5" customHeight="1" s="81"/>
    <row r="15" ht="13.5" customHeight="1" s="81"/>
    <row r="16" ht="13.5" customHeight="1" s="81"/>
    <row r="17" ht="13.5" customHeight="1" s="81"/>
    <row r="18" ht="13.5" customHeight="1" s="81"/>
    <row r="19" ht="13.5" customHeight="1" s="81"/>
    <row r="20" ht="13.5" customHeight="1" s="81"/>
    <row r="21" ht="13.5" customHeight="1" s="81"/>
    <row r="22" ht="13.5" customHeight="1" s="81"/>
    <row r="23" ht="13.5" customHeight="1" s="81"/>
    <row r="24" ht="13.5" customHeight="1" s="81"/>
    <row r="25" ht="13.5" customHeight="1" s="81"/>
    <row r="26" ht="13.5" customHeight="1" s="81"/>
    <row r="27" ht="13.5" customHeight="1" s="81"/>
    <row r="28" ht="13.5" customHeight="1" s="81"/>
    <row r="29" ht="13.5" customHeight="1" s="81"/>
    <row r="30" ht="13.5" customHeight="1" s="81"/>
    <row r="31" ht="13.5" customHeight="1" s="81"/>
    <row r="32" ht="13.5" customHeight="1" s="81"/>
    <row r="33" ht="13.5" customHeight="1" s="81"/>
    <row r="34" ht="13.5" customHeight="1" s="81"/>
    <row r="35" ht="13.5" customHeight="1" s="81"/>
    <row r="36" ht="13.5" customHeight="1" s="81"/>
    <row r="37" ht="13.5" customHeight="1" s="81"/>
    <row r="38" ht="13.5" customHeight="1" s="81"/>
    <row r="39" ht="13.5" customHeight="1" s="81"/>
    <row r="40" ht="13.5" customHeight="1" s="81"/>
    <row r="41" ht="13.5" customHeight="1" s="81"/>
    <row r="42" ht="13.5" customHeight="1" s="81"/>
    <row r="43" ht="13.5" customHeight="1" s="81"/>
    <row r="44" ht="13.5" customHeight="1" s="81"/>
    <row r="45" ht="13.5" customHeight="1" s="81"/>
    <row r="46" ht="13.5" customHeight="1" s="81"/>
    <row r="47" ht="13.5" customHeight="1" s="81"/>
    <row r="48" ht="13.5" customHeight="1" s="81"/>
    <row r="49" ht="13.5" customHeight="1" s="81"/>
    <row r="50" ht="13.5" customHeight="1" s="81"/>
    <row r="51" ht="13.5" customHeight="1" s="81"/>
    <row r="52" ht="13.5" customHeight="1" s="81"/>
    <row r="53" ht="13.5" customHeight="1" s="81"/>
    <row r="54" ht="13.5" customHeight="1" s="81"/>
    <row r="55" ht="13.5" customHeight="1" s="81"/>
    <row r="56" ht="13.5" customHeight="1" s="81"/>
    <row r="57" ht="13.5" customHeight="1" s="81"/>
    <row r="58" ht="13.5" customHeight="1" s="81"/>
    <row r="59" ht="13.5" customHeight="1" s="81"/>
    <row r="60" ht="13.5" customHeight="1" s="81"/>
    <row r="61" ht="13.5" customHeight="1" s="81"/>
    <row r="62" ht="13.5" customHeight="1" s="81"/>
    <row r="63" ht="13.5" customHeight="1" s="81"/>
    <row r="64" ht="13.5" customHeight="1" s="81"/>
    <row r="65" ht="13.5" customHeight="1" s="81"/>
    <row r="66" ht="13.5" customHeight="1" s="81"/>
    <row r="67" ht="13.5" customHeight="1" s="81"/>
    <row r="68" ht="13.5" customHeight="1" s="81"/>
    <row r="69" ht="13.5" customHeight="1" s="81"/>
    <row r="70" ht="13.5" customHeight="1" s="81"/>
    <row r="71" ht="13.5" customHeight="1" s="81"/>
    <row r="72" ht="13.5" customHeight="1" s="81"/>
    <row r="73" ht="13.5" customHeight="1" s="81"/>
    <row r="74" ht="13.5" customHeight="1" s="81"/>
    <row r="75" ht="13.5" customHeight="1" s="81"/>
    <row r="76" ht="13.5" customHeight="1" s="81"/>
    <row r="77" ht="13.5" customHeight="1" s="81"/>
    <row r="78" ht="13.5" customHeight="1" s="81"/>
    <row r="79" ht="13.5" customHeight="1" s="81"/>
    <row r="80" ht="13.5" customHeight="1" s="81"/>
    <row r="81" ht="13.5" customHeight="1" s="81"/>
    <row r="82" ht="13.5" customHeight="1" s="81"/>
    <row r="83" ht="13.5" customHeight="1" s="81"/>
    <row r="84" ht="13.5" customHeight="1" s="81"/>
    <row r="85" ht="13.5" customHeight="1" s="81"/>
    <row r="86" ht="13.5" customHeight="1" s="81"/>
    <row r="87" ht="13.5" customHeight="1" s="81"/>
    <row r="88" ht="13.5" customHeight="1" s="81"/>
    <row r="89" ht="13.5" customHeight="1" s="81"/>
    <row r="90" ht="13.5" customHeight="1" s="81"/>
    <row r="91" ht="13.5" customHeight="1" s="81"/>
    <row r="92" ht="13.5" customHeight="1" s="81"/>
    <row r="93" ht="13.5" customHeight="1" s="81"/>
    <row r="94" ht="13.5" customHeight="1" s="81"/>
    <row r="95" ht="13.5" customHeight="1" s="81"/>
    <row r="96" ht="13.5" customHeight="1" s="81"/>
    <row r="97" ht="13.5" customHeight="1" s="81"/>
    <row r="98" ht="13.5" customHeight="1" s="81"/>
    <row r="99" ht="13.5" customHeight="1" s="81"/>
    <row r="100" ht="13.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26CB5"/>
    <outlinePr summaryBelow="1" summaryRight="1"/>
    <pageSetUpPr/>
  </sheetPr>
  <dimension ref="A1:AD155"/>
  <sheetViews>
    <sheetView rightToLeft="1" workbookViewId="0">
      <selection activeCell="A1" sqref="A1"/>
    </sheetView>
  </sheetViews>
  <sheetFormatPr baseColWidth="8" defaultColWidth="14.43" defaultRowHeight="15" customHeight="1"/>
  <cols>
    <col width="3.71" customWidth="1" style="81" min="1" max="1"/>
    <col width="19.57" customWidth="1" style="81" min="2" max="2"/>
    <col width="5.71" customWidth="1" style="81" min="3" max="3"/>
    <col width="24.86" customWidth="1" style="81" min="4" max="5"/>
    <col width="14" customWidth="1" style="81" min="6" max="6"/>
    <col width="10.43" customWidth="1" style="81" min="7" max="9"/>
    <col width="21.57" customWidth="1" style="81" min="10" max="10"/>
    <col width="10.43" customWidth="1" style="81" min="11" max="13"/>
    <col width="1.14" customWidth="1" style="81" min="14" max="14"/>
    <col hidden="1" width="10" customWidth="1" style="81" min="15" max="16"/>
    <col hidden="1" width="10.43" customWidth="1" style="81" min="17" max="30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</row>
    <row r="2" ht="15" customHeight="1" s="81">
      <c r="A2" s="6" t="n"/>
      <c r="B2" s="7" t="inlineStr">
        <is>
          <t>שקילה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</row>
    <row r="3" ht="15" customHeight="1" s="81">
      <c r="A3" s="6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</row>
    <row r="4">
      <c r="A4" s="6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</row>
    <row r="6">
      <c r="A6" s="28" t="n"/>
      <c r="B6" s="10" t="inlineStr">
        <is>
          <t>הוראות</t>
        </is>
      </c>
      <c r="F6" s="28" t="n"/>
      <c r="G6" s="28" t="n"/>
      <c r="H6" s="28" t="n"/>
      <c r="I6" s="28" t="n"/>
      <c r="J6" s="28" t="n"/>
      <c r="K6" s="28" t="n"/>
      <c r="L6" s="28" t="n"/>
      <c r="M6" s="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</row>
    <row r="8">
      <c r="A8" s="28" t="n"/>
      <c r="B8" s="11" t="inlineStr">
        <is>
          <t>להשקל בבוקר אחרי שירותים ולרשום פה</t>
        </is>
      </c>
      <c r="F8" s="12" t="n"/>
      <c r="G8" s="28" t="n"/>
      <c r="H8" s="28" t="n"/>
      <c r="I8" s="28" t="n"/>
      <c r="J8" s="28" t="n"/>
      <c r="K8" s="28" t="n"/>
      <c r="L8" s="28" t="n"/>
      <c r="M8" s="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</row>
    <row r="9">
      <c r="A9" s="28" t="n"/>
      <c r="B9" s="11" t="inlineStr">
        <is>
          <t>נשקלים כל בוקר כדי לנטרל שינויים יומיים שהמשקל יכול לקפוץ מיום ליום</t>
        </is>
      </c>
      <c r="F9" s="12" t="n"/>
      <c r="G9" s="12" t="n"/>
      <c r="H9" s="12" t="n"/>
      <c r="I9" s="12" t="n"/>
      <c r="J9" s="28" t="n"/>
      <c r="K9" s="28" t="n"/>
      <c r="L9" s="28" t="n"/>
      <c r="M9" s="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</row>
    <row r="10">
      <c r="A10" s="28" t="n"/>
      <c r="B10" s="12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</row>
    <row r="11">
      <c r="A11" s="28" t="n"/>
      <c r="B11" s="23" t="inlineStr">
        <is>
          <t>* הנתונים בקובץ הן לדוגמא יש למחוק ולהזין את הנתונים שלך</t>
        </is>
      </c>
      <c r="F11" s="12" t="n"/>
      <c r="G11" s="12" t="n"/>
      <c r="H11" s="12" t="n"/>
      <c r="I11" s="12" t="n"/>
      <c r="J11" s="28" t="n"/>
      <c r="K11" s="28" t="n"/>
      <c r="L11" s="28" t="n"/>
      <c r="M11" s="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</row>
    <row r="12">
      <c r="A12" s="28" t="n"/>
      <c r="B12" s="12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</row>
    <row r="13" ht="8.25" customHeight="1" s="81">
      <c r="A13" s="28" t="n"/>
      <c r="B13" s="12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</row>
    <row r="14">
      <c r="A14" s="28" t="n"/>
      <c r="B14" s="14" t="inlineStr">
        <is>
          <t>שבוע 1</t>
        </is>
      </c>
      <c r="C14" s="28" t="n"/>
      <c r="D14" s="28" t="n"/>
      <c r="E14" s="28" t="n"/>
      <c r="F14" s="28" t="n"/>
      <c r="G14" s="28" t="n"/>
      <c r="H14" s="15" t="inlineStr">
        <is>
          <t>סיכום ממוצעים שבועיים</t>
        </is>
      </c>
      <c r="I14" s="28" t="n"/>
      <c r="J14" s="28" t="n"/>
      <c r="K14" s="28" t="n"/>
      <c r="L14" s="28" t="n"/>
      <c r="M14" s="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</row>
    <row r="15">
      <c r="A15" s="28" t="n"/>
      <c r="B15" s="14" t="inlineStr">
        <is>
          <t>תאריך</t>
        </is>
      </c>
      <c r="C15" s="14" t="inlineStr">
        <is>
          <t>יום</t>
        </is>
      </c>
      <c r="D15" s="25" t="inlineStr">
        <is>
          <t>משקל (בוקר)</t>
        </is>
      </c>
      <c r="E15" s="28" t="n"/>
      <c r="F15" s="28" t="n"/>
      <c r="G15" s="28" t="n"/>
      <c r="H15" s="14" t="inlineStr">
        <is>
          <t>שבוע</t>
        </is>
      </c>
      <c r="I15" s="14" t="inlineStr">
        <is>
          <t>ממוצע שבועי</t>
        </is>
      </c>
      <c r="J15" s="28" t="n"/>
      <c r="K15" s="28" t="n"/>
      <c r="L15" s="28" t="n"/>
      <c r="M15" s="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</row>
    <row r="16">
      <c r="A16" s="28" t="n"/>
      <c r="B16" s="17" t="n">
        <v>44878</v>
      </c>
      <c r="C16" s="18" t="inlineStr">
        <is>
          <t>א</t>
        </is>
      </c>
      <c r="D16" s="19" t="n"/>
      <c r="E16" s="28" t="n"/>
      <c r="F16" s="28" t="n"/>
      <c r="G16" s="28" t="n"/>
      <c r="H16" s="22">
        <f>B14</f>
        <v/>
      </c>
      <c r="I16" s="21">
        <f>D23</f>
        <v/>
      </c>
      <c r="J16" s="12" t="n"/>
      <c r="K16" s="12" t="n"/>
      <c r="L16" s="28" t="n"/>
      <c r="M16" s="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</row>
    <row r="17">
      <c r="A17" s="28" t="n"/>
      <c r="B17" s="17">
        <f>IF(B16="","",B16+1)</f>
        <v/>
      </c>
      <c r="C17" s="18" t="inlineStr">
        <is>
          <t>ב</t>
        </is>
      </c>
      <c r="D17" s="19" t="n"/>
      <c r="E17" s="28" t="n"/>
      <c r="F17" s="28" t="n"/>
      <c r="G17" s="28" t="n"/>
      <c r="H17" s="22">
        <f>B25</f>
        <v/>
      </c>
      <c r="I17" s="21">
        <f>D34</f>
        <v/>
      </c>
      <c r="J17" s="12" t="n"/>
      <c r="K17" s="12" t="n"/>
      <c r="L17" s="28" t="n"/>
      <c r="M17" s="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</row>
    <row r="18">
      <c r="A18" s="28" t="n"/>
      <c r="B18" s="17">
        <f>IF(B17="","",B17+1)</f>
        <v/>
      </c>
      <c r="C18" s="18" t="inlineStr">
        <is>
          <t>ג</t>
        </is>
      </c>
      <c r="D18" s="19" t="n"/>
      <c r="E18" s="28" t="n"/>
      <c r="F18" s="28" t="n"/>
      <c r="G18" s="28" t="n"/>
      <c r="H18" s="22">
        <f>B37</f>
        <v/>
      </c>
      <c r="I18" s="21">
        <f>D46</f>
        <v/>
      </c>
      <c r="J18" s="12" t="n"/>
      <c r="K18" s="12" t="n"/>
      <c r="L18" s="12" t="n"/>
      <c r="M18" s="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</row>
    <row r="19">
      <c r="A19" s="28" t="n"/>
      <c r="B19" s="17">
        <f>IF(B18="","",B18+1)</f>
        <v/>
      </c>
      <c r="C19" s="18" t="inlineStr">
        <is>
          <t>ד</t>
        </is>
      </c>
      <c r="D19" s="28" t="n"/>
      <c r="E19" s="28" t="n"/>
      <c r="F19" s="28" t="n"/>
      <c r="G19" s="28" t="n"/>
      <c r="H19" s="22">
        <f>B49</f>
        <v/>
      </c>
      <c r="I19" s="21">
        <f>D58</f>
        <v/>
      </c>
      <c r="J19" s="12" t="n"/>
      <c r="K19" s="12" t="n"/>
      <c r="L19" s="12" t="n"/>
      <c r="M19" s="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</row>
    <row r="20" ht="15.75" customHeight="1" s="81">
      <c r="A20" s="28" t="n"/>
      <c r="B20" s="17">
        <f>IF(B19="","",B19+1)</f>
        <v/>
      </c>
      <c r="C20" s="18" t="inlineStr">
        <is>
          <t>ה</t>
        </is>
      </c>
      <c r="D20" s="28" t="n"/>
      <c r="E20" s="28" t="n"/>
      <c r="F20" s="28" t="n"/>
      <c r="G20" s="28" t="n"/>
      <c r="H20" s="22">
        <f>B61</f>
        <v/>
      </c>
      <c r="I20" s="21">
        <f>D70</f>
        <v/>
      </c>
      <c r="J20" s="12" t="n"/>
      <c r="K20" s="12" t="n"/>
      <c r="L20" s="12" t="n"/>
      <c r="M20" s="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</row>
    <row r="21" ht="15.75" customHeight="1" s="81">
      <c r="A21" s="28" t="n"/>
      <c r="B21" s="17">
        <f>IF(B20="","",B20+1)</f>
        <v/>
      </c>
      <c r="C21" s="18" t="inlineStr">
        <is>
          <t>ו</t>
        </is>
      </c>
      <c r="D21" s="28" t="n"/>
      <c r="E21" s="28" t="n"/>
      <c r="F21" s="28" t="n"/>
      <c r="G21" s="28" t="n"/>
      <c r="H21" s="22">
        <f>B73</f>
        <v/>
      </c>
      <c r="I21" s="21">
        <f>D82</f>
        <v/>
      </c>
      <c r="J21" s="12" t="n"/>
      <c r="K21" s="12" t="n"/>
      <c r="L21" s="12" t="n"/>
      <c r="M21" s="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</row>
    <row r="22" ht="15.75" customHeight="1" s="81">
      <c r="A22" s="28" t="n"/>
      <c r="B22" s="17">
        <f>IF(B21="","",B21+1)</f>
        <v/>
      </c>
      <c r="C22" s="22" t="inlineStr">
        <is>
          <t>ש</t>
        </is>
      </c>
      <c r="D22" s="28" t="n"/>
      <c r="E22" s="28" t="n"/>
      <c r="F22" s="28" t="n"/>
      <c r="G22" s="28" t="n"/>
      <c r="H22" s="22">
        <f>B85</f>
        <v/>
      </c>
      <c r="I22" s="21">
        <f>D94</f>
        <v/>
      </c>
      <c r="J22" s="12" t="n"/>
      <c r="K22" s="12" t="n"/>
      <c r="L22" s="12" t="n"/>
      <c r="M22" s="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</row>
    <row r="23" ht="15.75" customHeight="1" s="81">
      <c r="A23" s="28" t="n"/>
      <c r="B23" s="14" t="inlineStr">
        <is>
          <t>ממוצע שבועי</t>
        </is>
      </c>
      <c r="C23" s="28" t="n"/>
      <c r="D23" s="23">
        <f>IFERROR(SUM(AVERAGE(D16:D22)),"")</f>
        <v/>
      </c>
      <c r="E23" s="12" t="n"/>
      <c r="F23" s="28" t="n"/>
      <c r="G23" s="28" t="n"/>
      <c r="H23" s="22">
        <f>B97</f>
        <v/>
      </c>
      <c r="I23" s="12">
        <f>D106</f>
        <v/>
      </c>
      <c r="J23" s="12" t="n"/>
      <c r="K23" s="12" t="n"/>
      <c r="L23" s="12" t="n"/>
      <c r="M23" s="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</row>
    <row r="24" ht="15.75" customHeight="1" s="81">
      <c r="A24" s="28" t="n"/>
      <c r="B24" s="28" t="n"/>
      <c r="C24" s="28" t="n"/>
      <c r="D24" s="28" t="n"/>
      <c r="E24" s="28" t="n"/>
      <c r="F24" s="28" t="n"/>
      <c r="G24" s="28" t="n"/>
      <c r="H24" s="24" t="inlineStr">
        <is>
          <t>שבוע 9</t>
        </is>
      </c>
      <c r="I24" s="21">
        <f>D120</f>
        <v/>
      </c>
      <c r="J24" s="12" t="n"/>
      <c r="K24" s="28" t="n"/>
      <c r="L24" s="28" t="n"/>
      <c r="M24" s="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</row>
    <row r="25" ht="15.75" customHeight="1" s="81">
      <c r="A25" s="28" t="n"/>
      <c r="B25" s="14" t="inlineStr">
        <is>
          <t>שבוע 2</t>
        </is>
      </c>
      <c r="C25" s="28" t="n"/>
      <c r="D25" s="28" t="n"/>
      <c r="E25" s="28" t="n"/>
      <c r="F25" s="28" t="n"/>
      <c r="G25" s="28" t="n"/>
      <c r="H25" s="24" t="inlineStr">
        <is>
          <t>שבוע 10</t>
        </is>
      </c>
      <c r="I25" s="21">
        <f>D131</f>
        <v/>
      </c>
      <c r="J25" s="12" t="n"/>
      <c r="K25" s="28" t="n"/>
      <c r="L25" s="28" t="n"/>
      <c r="M25" s="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</row>
    <row r="26" ht="15.75" customHeight="1" s="81">
      <c r="A26" s="28" t="n"/>
      <c r="B26" s="14" t="inlineStr">
        <is>
          <t>תאריך</t>
        </is>
      </c>
      <c r="C26" s="14" t="inlineStr">
        <is>
          <t>יום</t>
        </is>
      </c>
      <c r="D26" s="25">
        <f>D15</f>
        <v/>
      </c>
      <c r="E26" s="28" t="n"/>
      <c r="F26" s="28" t="n"/>
      <c r="G26" s="28" t="n"/>
      <c r="H26" s="24" t="inlineStr">
        <is>
          <t>שבוע 11</t>
        </is>
      </c>
      <c r="I26" s="21">
        <f>D142</f>
        <v/>
      </c>
      <c r="J26" s="12" t="n"/>
      <c r="K26" s="28" t="n"/>
      <c r="L26" s="28" t="n"/>
      <c r="M26" s="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</row>
    <row r="27" ht="15.75" customHeight="1" s="81">
      <c r="A27" s="28" t="n"/>
      <c r="B27" s="17">
        <f>IF(B22="","",B22+1)</f>
        <v/>
      </c>
      <c r="C27" s="18" t="inlineStr">
        <is>
          <t>א</t>
        </is>
      </c>
      <c r="D27" s="28" t="n"/>
      <c r="E27" s="28" t="n"/>
      <c r="F27" s="28" t="n"/>
      <c r="G27" s="28" t="n"/>
      <c r="H27" s="24" t="inlineStr">
        <is>
          <t>שבוע 12</t>
        </is>
      </c>
      <c r="I27" s="12">
        <f>D153</f>
        <v/>
      </c>
      <c r="J27" s="12" t="n"/>
      <c r="K27" s="28" t="n"/>
      <c r="L27" s="28" t="n"/>
      <c r="M27" s="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</row>
    <row r="28" ht="15.75" customHeight="1" s="81">
      <c r="A28" s="28" t="n"/>
      <c r="B28" s="17">
        <f>IF(B27="","",B27+1)</f>
        <v/>
      </c>
      <c r="C28" s="18" t="inlineStr">
        <is>
          <t>ב</t>
        </is>
      </c>
      <c r="D28" s="28" t="n"/>
      <c r="E28" s="28" t="n"/>
      <c r="F28" s="28" t="n"/>
      <c r="G28" s="28" t="n"/>
      <c r="H28" s="28" t="n"/>
      <c r="I28" s="28" t="n"/>
      <c r="J28" s="26" t="n"/>
      <c r="K28" s="26" t="n"/>
      <c r="L28" s="28" t="n"/>
      <c r="M28" s="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</row>
    <row r="29" ht="15.75" customHeight="1" s="81">
      <c r="A29" s="28" t="n"/>
      <c r="B29" s="17">
        <f>IF(B28="","",B28+1)</f>
        <v/>
      </c>
      <c r="C29" s="18" t="inlineStr">
        <is>
          <t>ג</t>
        </is>
      </c>
      <c r="D29" s="19" t="n"/>
      <c r="E29" s="28" t="n"/>
      <c r="F29" s="28" t="n"/>
      <c r="G29" s="28" t="n"/>
      <c r="H29" s="12" t="n"/>
      <c r="I29" s="12" t="n"/>
      <c r="J29" s="12" t="n"/>
      <c r="K29" s="12" t="n"/>
      <c r="L29" s="12" t="n"/>
      <c r="M29" s="27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</row>
    <row r="30" ht="15.75" customHeight="1" s="81">
      <c r="A30" s="28" t="n"/>
      <c r="B30" s="17">
        <f>IF(B29="","",B29+1)</f>
        <v/>
      </c>
      <c r="C30" s="18" t="inlineStr">
        <is>
          <t>ד</t>
        </is>
      </c>
      <c r="D30" s="28" t="n"/>
      <c r="E30" s="28" t="n"/>
      <c r="F30" s="28" t="n"/>
      <c r="G30" s="28" t="n"/>
      <c r="H30" s="12" t="n"/>
      <c r="I30" s="12" t="n"/>
      <c r="J30" s="12" t="n"/>
      <c r="K30" s="12" t="n"/>
      <c r="L30" s="12" t="n"/>
      <c r="M30" s="27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</row>
    <row r="31" ht="15.75" customHeight="1" s="81">
      <c r="A31" s="28" t="n"/>
      <c r="B31" s="17">
        <f>IF(B30="","",B30+1)</f>
        <v/>
      </c>
      <c r="C31" s="18" t="inlineStr">
        <is>
          <t>ה</t>
        </is>
      </c>
      <c r="D31" s="28" t="n"/>
      <c r="E31" s="12" t="n"/>
      <c r="F31" s="12" t="n"/>
      <c r="G31" s="28" t="n"/>
      <c r="H31" s="12" t="n"/>
      <c r="I31" s="12" t="n"/>
      <c r="J31" s="12" t="n"/>
      <c r="K31" s="12" t="n"/>
      <c r="L31" s="12" t="n"/>
      <c r="M31" s="27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</row>
    <row r="32" ht="15.75" customHeight="1" s="81">
      <c r="A32" s="28" t="n"/>
      <c r="B32" s="17">
        <f>IF(B31="","",B31+1)</f>
        <v/>
      </c>
      <c r="C32" s="18" t="inlineStr">
        <is>
          <t>ו</t>
        </is>
      </c>
      <c r="D32" s="28" t="n"/>
      <c r="E32" s="12" t="n"/>
      <c r="F32" s="12" t="n"/>
      <c r="G32" s="28" t="n"/>
      <c r="H32" s="12" t="n"/>
      <c r="I32" s="12" t="n"/>
      <c r="J32" s="12" t="n"/>
      <c r="K32" s="12" t="n"/>
      <c r="L32" s="12" t="n"/>
      <c r="M32" s="27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</row>
    <row r="33" ht="15.75" customHeight="1" s="81">
      <c r="A33" s="28" t="n"/>
      <c r="B33" s="17">
        <f>IF(B32="","",B32+1)</f>
        <v/>
      </c>
      <c r="C33" s="22" t="inlineStr">
        <is>
          <t>ש</t>
        </is>
      </c>
      <c r="D33" s="28" t="n"/>
      <c r="E33" s="12" t="n"/>
      <c r="F33" s="12" t="n"/>
      <c r="G33" s="28" t="n"/>
      <c r="H33" s="12" t="n"/>
      <c r="I33" s="12" t="n"/>
      <c r="J33" s="12" t="n"/>
      <c r="K33" s="12" t="n"/>
      <c r="L33" s="12" t="n"/>
      <c r="M33" s="27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</row>
    <row r="34" ht="15.75" customHeight="1" s="81">
      <c r="A34" s="28" t="n"/>
      <c r="B34" s="14" t="inlineStr">
        <is>
          <t>ממוצע שבועי</t>
        </is>
      </c>
      <c r="C34" s="28" t="n"/>
      <c r="D34" s="23">
        <f>IFERROR(SUM(AVERAGE(D27:D33)),"")</f>
        <v/>
      </c>
      <c r="E34" s="12" t="n"/>
      <c r="F34" s="12" t="n"/>
      <c r="G34" s="28" t="n"/>
      <c r="H34" s="12" t="n"/>
      <c r="I34" s="12" t="n"/>
      <c r="J34" s="12" t="n"/>
      <c r="K34" s="12" t="n"/>
      <c r="L34" s="12" t="n"/>
      <c r="M34" s="27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</row>
    <row r="35" ht="15.75" customHeight="1" s="81">
      <c r="A35" s="28" t="n"/>
      <c r="B35" s="28" t="n"/>
      <c r="C35" s="28" t="n"/>
      <c r="D35" s="28" t="n"/>
      <c r="E35" s="28" t="n"/>
      <c r="F35" s="28" t="n"/>
      <c r="G35" s="28" t="n"/>
      <c r="H35" s="12" t="n"/>
      <c r="I35" s="12" t="n"/>
      <c r="J35" s="12" t="n"/>
      <c r="K35" s="12" t="n"/>
      <c r="L35" s="12" t="n"/>
      <c r="M35" s="27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</row>
    <row r="36" ht="15.75" customHeight="1" s="81">
      <c r="A36" s="28" t="n"/>
      <c r="B36" s="28" t="n"/>
      <c r="C36" s="28" t="n"/>
      <c r="D36" s="28" t="n"/>
      <c r="E36" s="28" t="n"/>
      <c r="F36" s="28" t="n"/>
      <c r="G36" s="28" t="n"/>
      <c r="H36" s="12" t="n"/>
      <c r="I36" s="12" t="n"/>
      <c r="J36" s="12" t="n"/>
      <c r="K36" s="12" t="n"/>
      <c r="L36" s="12" t="n"/>
      <c r="M36" s="27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</row>
    <row r="37" ht="15.75" customHeight="1" s="81">
      <c r="A37" s="28" t="n"/>
      <c r="B37" s="14" t="inlineStr">
        <is>
          <t>שבוע 3</t>
        </is>
      </c>
      <c r="C37" s="28" t="n"/>
      <c r="D37" s="28" t="n"/>
      <c r="E37" s="28" t="n"/>
      <c r="F37" s="28" t="n"/>
      <c r="G37" s="28" t="n"/>
      <c r="H37" s="12" t="n"/>
      <c r="I37" s="12" t="n"/>
      <c r="J37" s="12" t="n"/>
      <c r="K37" s="12" t="n"/>
      <c r="L37" s="12" t="n"/>
      <c r="M37" s="27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</row>
    <row r="38" ht="15.75" customHeight="1" s="81">
      <c r="A38" s="28" t="n"/>
      <c r="B38" s="14" t="inlineStr">
        <is>
          <t>תאריך</t>
        </is>
      </c>
      <c r="C38" s="14" t="inlineStr">
        <is>
          <t>יום</t>
        </is>
      </c>
      <c r="D38" s="25">
        <f>D26</f>
        <v/>
      </c>
      <c r="E38" s="28" t="n"/>
      <c r="F38" s="28" t="n"/>
      <c r="G38" s="28" t="n"/>
      <c r="H38" s="12" t="n"/>
      <c r="I38" s="12" t="n"/>
      <c r="J38" s="12" t="n"/>
      <c r="K38" s="12" t="n"/>
      <c r="L38" s="12" t="n"/>
      <c r="M38" s="27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</row>
    <row r="39" ht="15.75" customHeight="1" s="81">
      <c r="A39" s="28" t="n"/>
      <c r="B39" s="17">
        <f>IF(B33="","",B33+1)</f>
        <v/>
      </c>
      <c r="C39" s="18" t="inlineStr">
        <is>
          <t>א</t>
        </is>
      </c>
      <c r="D39" s="28" t="n"/>
      <c r="E39" s="28" t="n"/>
      <c r="F39" s="28" t="n"/>
      <c r="G39" s="28" t="n"/>
      <c r="H39" s="12" t="n"/>
      <c r="I39" s="12" t="n"/>
      <c r="J39" s="12" t="n"/>
      <c r="K39" s="12" t="n"/>
      <c r="L39" s="12" t="n"/>
      <c r="M39" s="27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</row>
    <row r="40" ht="15.75" customHeight="1" s="81">
      <c r="A40" s="28" t="n"/>
      <c r="B40" s="17">
        <f>IF(B39="","",B39+1)</f>
        <v/>
      </c>
      <c r="C40" s="18" t="inlineStr">
        <is>
          <t>ב</t>
        </is>
      </c>
      <c r="D40" s="28" t="n"/>
      <c r="E40" s="28" t="n"/>
      <c r="F40" s="28" t="n"/>
      <c r="G40" s="28" t="n"/>
      <c r="H40" s="12" t="n"/>
      <c r="I40" s="12" t="n"/>
      <c r="J40" s="12" t="n"/>
      <c r="K40" s="12" t="n"/>
      <c r="L40" s="12" t="n"/>
      <c r="M40" s="27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</row>
    <row r="41" ht="15.75" customHeight="1" s="81">
      <c r="A41" s="28" t="n"/>
      <c r="B41" s="17">
        <f>IF(B40="","",B40+1)</f>
        <v/>
      </c>
      <c r="C41" s="18" t="inlineStr">
        <is>
          <t>ג</t>
        </is>
      </c>
      <c r="D41" s="28" t="n"/>
      <c r="E41" s="28" t="n"/>
      <c r="F41" s="28" t="n"/>
      <c r="G41" s="28" t="n"/>
      <c r="H41" s="12" t="n"/>
      <c r="I41" s="12" t="n"/>
      <c r="J41" s="12" t="n"/>
      <c r="K41" s="12" t="n"/>
      <c r="L41" s="12" t="n"/>
      <c r="M41" s="27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</row>
    <row r="42" ht="15.75" customHeight="1" s="81">
      <c r="A42" s="28" t="n"/>
      <c r="B42" s="17">
        <f>IF(B41="","",B41+1)</f>
        <v/>
      </c>
      <c r="C42" s="18" t="inlineStr">
        <is>
          <t>ד</t>
        </is>
      </c>
      <c r="D42" s="28" t="n"/>
      <c r="E42" s="28" t="n"/>
      <c r="F42" s="28" t="n"/>
      <c r="G42" s="28" t="n"/>
      <c r="H42" s="12" t="n"/>
      <c r="I42" s="12" t="n"/>
      <c r="J42" s="12" t="n"/>
      <c r="K42" s="12" t="n"/>
      <c r="L42" s="12" t="n"/>
      <c r="M42" s="27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</row>
    <row r="43" ht="15.75" customHeight="1" s="81">
      <c r="A43" s="28" t="n"/>
      <c r="B43" s="17">
        <f>IF(B42="","",B42+1)</f>
        <v/>
      </c>
      <c r="C43" s="18" t="inlineStr">
        <is>
          <t>ה</t>
        </is>
      </c>
      <c r="D43" s="28" t="n"/>
      <c r="E43" s="28" t="n"/>
      <c r="F43" s="28" t="n"/>
      <c r="G43" s="28" t="n"/>
      <c r="H43" s="12" t="n"/>
      <c r="I43" s="12" t="n"/>
      <c r="J43" s="12" t="n"/>
      <c r="K43" s="12" t="n"/>
      <c r="L43" s="12" t="n"/>
      <c r="M43" s="27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</row>
    <row r="44" ht="15.75" customHeight="1" s="81">
      <c r="A44" s="28" t="n"/>
      <c r="B44" s="17">
        <f>IF(B43="","",B43+1)</f>
        <v/>
      </c>
      <c r="C44" s="18" t="inlineStr">
        <is>
          <t>ו</t>
        </is>
      </c>
      <c r="D44" s="28" t="n"/>
      <c r="E44" s="28" t="n"/>
      <c r="F44" s="28" t="n"/>
      <c r="G44" s="28" t="n"/>
      <c r="H44" s="12" t="n"/>
      <c r="I44" s="12" t="n"/>
      <c r="J44" s="12" t="n"/>
      <c r="K44" s="12" t="n"/>
      <c r="L44" s="12" t="n"/>
      <c r="M44" s="27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</row>
    <row r="45" ht="15.75" customHeight="1" s="81">
      <c r="A45" s="28" t="n"/>
      <c r="B45" s="17">
        <f>IF(B44="","",B44+1)</f>
        <v/>
      </c>
      <c r="C45" s="22" t="inlineStr">
        <is>
          <t>ש</t>
        </is>
      </c>
      <c r="D45" s="28" t="n"/>
      <c r="E45" s="28" t="n"/>
      <c r="F45" s="28" t="n"/>
      <c r="G45" s="28" t="n"/>
      <c r="H45" s="12" t="n"/>
      <c r="I45" s="12" t="n"/>
      <c r="J45" s="12" t="n"/>
      <c r="K45" s="12" t="n"/>
      <c r="L45" s="12" t="n"/>
      <c r="M45" s="27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</row>
    <row r="46" ht="15.75" customHeight="1" s="81">
      <c r="A46" s="28" t="n"/>
      <c r="B46" s="14" t="inlineStr">
        <is>
          <t>ממוצע שבועי</t>
        </is>
      </c>
      <c r="C46" s="28" t="n"/>
      <c r="D46" s="12">
        <f>IFERROR(SUM(AVERAGE(D39:D45)),"")</f>
        <v/>
      </c>
      <c r="E46" s="12" t="n"/>
      <c r="F46" s="28" t="n"/>
      <c r="G46" s="28" t="n"/>
      <c r="H46" s="12" t="n"/>
      <c r="I46" s="12" t="n"/>
      <c r="J46" s="12" t="n"/>
      <c r="K46" s="12" t="n"/>
      <c r="L46" s="12" t="n"/>
      <c r="M46" s="27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</row>
    <row r="47" ht="15.75" customHeight="1" s="81">
      <c r="A47" s="28" t="n"/>
      <c r="B47" s="28" t="n"/>
      <c r="C47" s="28" t="n"/>
      <c r="D47" s="28" t="n"/>
      <c r="E47" s="28" t="n"/>
      <c r="F47" s="28" t="n"/>
      <c r="G47" s="28" t="n"/>
      <c r="H47" s="12" t="n"/>
      <c r="I47" s="12" t="n"/>
      <c r="J47" s="12" t="n"/>
      <c r="K47" s="12" t="n"/>
      <c r="L47" s="12" t="n"/>
      <c r="M47" s="27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</row>
    <row r="48" ht="15.75" customHeight="1" s="81">
      <c r="A48" s="28" t="n"/>
      <c r="B48" s="28" t="n"/>
      <c r="C48" s="28" t="n"/>
      <c r="D48" s="28" t="n"/>
      <c r="E48" s="28" t="n"/>
      <c r="F48" s="28" t="n"/>
      <c r="G48" s="28" t="n"/>
      <c r="H48" s="12" t="n"/>
      <c r="I48" s="12" t="n"/>
      <c r="J48" s="12" t="n"/>
      <c r="K48" s="12" t="n"/>
      <c r="L48" s="12" t="n"/>
      <c r="M48" s="27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</row>
    <row r="49" ht="15.75" customHeight="1" s="81">
      <c r="A49" s="28" t="n"/>
      <c r="B49" s="14" t="inlineStr">
        <is>
          <t>שבוע 4</t>
        </is>
      </c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</row>
    <row r="50" ht="15.75" customHeight="1" s="81">
      <c r="A50" s="28" t="n"/>
      <c r="B50" s="14" t="inlineStr">
        <is>
          <t>תאריך</t>
        </is>
      </c>
      <c r="C50" s="14" t="inlineStr">
        <is>
          <t>יום</t>
        </is>
      </c>
      <c r="D50" s="25">
        <f>D38</f>
        <v/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</row>
    <row r="51" ht="15.75" customHeight="1" s="81">
      <c r="A51" s="28" t="n"/>
      <c r="B51" s="17">
        <f>IF(B45="","",B45+1)</f>
        <v/>
      </c>
      <c r="C51" s="18" t="inlineStr">
        <is>
          <t>א</t>
        </is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</row>
    <row r="52" ht="15.75" customHeight="1" s="81">
      <c r="A52" s="28" t="n"/>
      <c r="B52" s="17">
        <f>IF(B51="","",B51+1)</f>
        <v/>
      </c>
      <c r="C52" s="18" t="inlineStr">
        <is>
          <t>ב</t>
        </is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</row>
    <row r="53" ht="15.75" customHeight="1" s="81">
      <c r="A53" s="28" t="n"/>
      <c r="B53" s="17">
        <f>IF(B52="","",B52+1)</f>
        <v/>
      </c>
      <c r="C53" s="18" t="inlineStr">
        <is>
          <t>ג</t>
        </is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</row>
    <row r="54" ht="15.75" customHeight="1" s="81">
      <c r="A54" s="28" t="n"/>
      <c r="B54" s="17">
        <f>IF(B53="","",B53+1)</f>
        <v/>
      </c>
      <c r="C54" s="18" t="inlineStr">
        <is>
          <t>ד</t>
        </is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</row>
    <row r="55" ht="15.75" customHeight="1" s="81">
      <c r="A55" s="28" t="n"/>
      <c r="B55" s="17">
        <f>IF(B54="","",B54+1)</f>
        <v/>
      </c>
      <c r="C55" s="18" t="inlineStr">
        <is>
          <t>ה</t>
        </is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</row>
    <row r="56" ht="15.75" customHeight="1" s="81">
      <c r="A56" s="28" t="n"/>
      <c r="B56" s="17">
        <f>IF(B55="","",B55+1)</f>
        <v/>
      </c>
      <c r="C56" s="18" t="inlineStr">
        <is>
          <t>ו</t>
        </is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</row>
    <row r="57" ht="15.75" customHeight="1" s="81">
      <c r="A57" s="28" t="n"/>
      <c r="B57" s="17">
        <f>IF(B56="","",B56+1)</f>
        <v/>
      </c>
      <c r="C57" s="22" t="inlineStr">
        <is>
          <t>ש</t>
        </is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</row>
    <row r="58" ht="15.75" customHeight="1" s="81">
      <c r="A58" s="28" t="n"/>
      <c r="B58" s="14" t="inlineStr">
        <is>
          <t>ממוצע שבועי</t>
        </is>
      </c>
      <c r="C58" s="28" t="n"/>
      <c r="D58" s="12">
        <f>IFERROR(SUM(AVERAGE(D51:D57)),"")</f>
        <v/>
      </c>
      <c r="E58" s="12" t="n"/>
      <c r="F58" s="28" t="n"/>
      <c r="G58" s="28" t="n"/>
      <c r="H58" s="28" t="n"/>
      <c r="I58" s="28" t="n"/>
      <c r="J58" s="28" t="n"/>
      <c r="K58" s="28" t="n"/>
      <c r="L58" s="28" t="n"/>
      <c r="M58" s="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</row>
    <row r="59" ht="15.75" customHeight="1" s="8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</row>
    <row r="60" ht="15.75" customHeight="1" s="8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</row>
    <row r="61" ht="15.75" customHeight="1" s="81">
      <c r="A61" s="28" t="n"/>
      <c r="B61" s="14" t="inlineStr">
        <is>
          <t>שבוע 5</t>
        </is>
      </c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29" t="n"/>
    </row>
    <row r="62" ht="15.75" customHeight="1" s="81">
      <c r="A62" s="28" t="n"/>
      <c r="B62" s="14" t="inlineStr">
        <is>
          <t>תאריך</t>
        </is>
      </c>
      <c r="C62" s="14" t="inlineStr">
        <is>
          <t>יום</t>
        </is>
      </c>
      <c r="D62" s="25">
        <f>D50</f>
        <v/>
      </c>
      <c r="E62" s="28" t="n"/>
      <c r="F62" s="28" t="n"/>
      <c r="G62" s="28" t="n"/>
      <c r="H62" s="28" t="n"/>
      <c r="I62" s="28" t="n"/>
      <c r="J62" s="28" t="n"/>
      <c r="K62" s="28" t="n"/>
      <c r="L62" s="2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29" t="n"/>
    </row>
    <row r="63" ht="15.75" customHeight="1" s="81">
      <c r="A63" s="28" t="n"/>
      <c r="B63" s="17">
        <f>IF(B57="","",B57+1)</f>
        <v/>
      </c>
      <c r="C63" s="18" t="inlineStr">
        <is>
          <t>א</t>
        </is>
      </c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29" t="n"/>
    </row>
    <row r="64" ht="15.75" customHeight="1" s="81">
      <c r="A64" s="28" t="n"/>
      <c r="B64" s="17">
        <f>IF(B63="","",B63+1)</f>
        <v/>
      </c>
      <c r="C64" s="18" t="inlineStr">
        <is>
          <t>ב</t>
        </is>
      </c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29" t="n"/>
    </row>
    <row r="65" ht="15.75" customHeight="1" s="81">
      <c r="A65" s="28" t="n"/>
      <c r="B65" s="17">
        <f>IF(B64="","",B64+1)</f>
        <v/>
      </c>
      <c r="C65" s="18" t="inlineStr">
        <is>
          <t>ג</t>
        </is>
      </c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29" t="n"/>
    </row>
    <row r="66" ht="15.75" customHeight="1" s="81">
      <c r="A66" s="28" t="n"/>
      <c r="B66" s="17">
        <f>IF(B65="","",B65+1)</f>
        <v/>
      </c>
      <c r="C66" s="18" t="inlineStr">
        <is>
          <t>ד</t>
        </is>
      </c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29" t="n"/>
    </row>
    <row r="67" ht="15.75" customHeight="1" s="81">
      <c r="A67" s="28" t="n"/>
      <c r="B67" s="17">
        <f>IF(B66="","",B66+1)</f>
        <v/>
      </c>
      <c r="C67" s="18" t="inlineStr">
        <is>
          <t>ה</t>
        </is>
      </c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29" t="n"/>
    </row>
    <row r="68" ht="15.75" customHeight="1" s="81">
      <c r="A68" s="28" t="n"/>
      <c r="B68" s="17">
        <f>IF(B67="","",B67+1)</f>
        <v/>
      </c>
      <c r="C68" s="18" t="inlineStr">
        <is>
          <t>ו</t>
        </is>
      </c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29" t="n"/>
    </row>
    <row r="69" ht="15.75" customHeight="1" s="81">
      <c r="A69" s="28" t="n"/>
      <c r="B69" s="17">
        <f>IF(B68="","",B68+1)</f>
        <v/>
      </c>
      <c r="C69" s="22" t="inlineStr">
        <is>
          <t>ש</t>
        </is>
      </c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29" t="n"/>
    </row>
    <row r="70" ht="15.75" customHeight="1" s="81">
      <c r="A70" s="28" t="n"/>
      <c r="B70" s="14" t="inlineStr">
        <is>
          <t>ממוצע שבועי</t>
        </is>
      </c>
      <c r="C70" s="28" t="n"/>
      <c r="D70" s="12">
        <f>IFERROR(SUM(AVERAGE(D63:D69)),"")</f>
        <v/>
      </c>
      <c r="E70" s="12" t="n"/>
      <c r="F70" s="28" t="n"/>
      <c r="G70" s="28" t="n"/>
      <c r="H70" s="28" t="n"/>
      <c r="I70" s="28" t="n"/>
      <c r="J70" s="28" t="n"/>
      <c r="K70" s="28" t="n"/>
      <c r="L70" s="2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29" t="n"/>
    </row>
    <row r="71" ht="15.75" customHeight="1" s="8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29" t="n"/>
    </row>
    <row r="72" ht="15.75" customHeight="1" s="8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29" t="n"/>
    </row>
    <row r="73" ht="15.75" customHeight="1" s="81">
      <c r="A73" s="28" t="n"/>
      <c r="B73" s="14" t="inlineStr">
        <is>
          <t>שבוע 6</t>
        </is>
      </c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29" t="n"/>
    </row>
    <row r="74" ht="15.75" customHeight="1" s="81">
      <c r="A74" s="28" t="n"/>
      <c r="B74" s="14" t="inlineStr">
        <is>
          <t>תאריך</t>
        </is>
      </c>
      <c r="C74" s="14" t="inlineStr">
        <is>
          <t>יום</t>
        </is>
      </c>
      <c r="D74" s="25">
        <f>D62</f>
        <v/>
      </c>
      <c r="E74" s="28" t="n"/>
      <c r="F74" s="28" t="n"/>
      <c r="G74" s="28" t="n"/>
      <c r="H74" s="28" t="n"/>
      <c r="I74" s="28" t="n"/>
      <c r="J74" s="28" t="n"/>
      <c r="K74" s="28" t="n"/>
      <c r="L74" s="2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29" t="n"/>
    </row>
    <row r="75" ht="15.75" customHeight="1" s="81">
      <c r="A75" s="28" t="n"/>
      <c r="B75" s="17">
        <f>IF(B69="","",B69+1)</f>
        <v/>
      </c>
      <c r="C75" s="18" t="inlineStr">
        <is>
          <t>א</t>
        </is>
      </c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29" t="n"/>
    </row>
    <row r="76" ht="15.75" customHeight="1" s="81">
      <c r="A76" s="28" t="n"/>
      <c r="B76" s="17">
        <f>IF(B75="","",B75+1)</f>
        <v/>
      </c>
      <c r="C76" s="18" t="inlineStr">
        <is>
          <t>ב</t>
        </is>
      </c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29" t="n"/>
    </row>
    <row r="77" ht="15.75" customHeight="1" s="81">
      <c r="A77" s="28" t="n"/>
      <c r="B77" s="17">
        <f>IF(B76="","",B76+1)</f>
        <v/>
      </c>
      <c r="C77" s="18" t="inlineStr">
        <is>
          <t>ג</t>
        </is>
      </c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29" t="n"/>
    </row>
    <row r="78" ht="15.75" customHeight="1" s="81">
      <c r="A78" s="28" t="n"/>
      <c r="B78" s="17">
        <f>IF(B77="","",B77+1)</f>
        <v/>
      </c>
      <c r="C78" s="18" t="inlineStr">
        <is>
          <t>ד</t>
        </is>
      </c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29" t="n"/>
    </row>
    <row r="79" ht="15.75" customHeight="1" s="81">
      <c r="A79" s="28" t="n"/>
      <c r="B79" s="17">
        <f>IF(B78="","",B78+1)</f>
        <v/>
      </c>
      <c r="C79" s="18" t="inlineStr">
        <is>
          <t>ה</t>
        </is>
      </c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29" t="n"/>
    </row>
    <row r="80" ht="15.75" customHeight="1" s="81">
      <c r="A80" s="28" t="n"/>
      <c r="B80" s="17">
        <f>IF(B79="","",B79+1)</f>
        <v/>
      </c>
      <c r="C80" s="18" t="inlineStr">
        <is>
          <t>ו</t>
        </is>
      </c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29" t="n"/>
    </row>
    <row r="81" ht="15.75" customHeight="1" s="81">
      <c r="A81" s="28" t="n"/>
      <c r="B81" s="17">
        <f>IF(B80="","",B80+1)</f>
        <v/>
      </c>
      <c r="C81" s="22" t="inlineStr">
        <is>
          <t>ש</t>
        </is>
      </c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29" t="n"/>
    </row>
    <row r="82" ht="15.75" customHeight="1" s="81">
      <c r="A82" s="28" t="n"/>
      <c r="B82" s="14" t="inlineStr">
        <is>
          <t>ממוצע שבועי</t>
        </is>
      </c>
      <c r="C82" s="28" t="n"/>
      <c r="D82" s="12">
        <f>IFERROR(SUM(AVERAGE(D75:D81)),"")</f>
        <v/>
      </c>
      <c r="E82" s="12" t="n"/>
      <c r="F82" s="28" t="n"/>
      <c r="G82" s="28" t="n"/>
      <c r="H82" s="28" t="n"/>
      <c r="I82" s="28" t="n"/>
      <c r="J82" s="28" t="n"/>
      <c r="K82" s="28" t="n"/>
      <c r="L82" s="2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29" t="n"/>
    </row>
    <row r="83" ht="15.75" customHeight="1" s="81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29" t="n"/>
    </row>
    <row r="84" ht="15.75" customHeight="1" s="81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29" t="n"/>
    </row>
    <row r="85" ht="15.75" customHeight="1" s="81">
      <c r="A85" s="28" t="n"/>
      <c r="B85" s="14" t="inlineStr">
        <is>
          <t>שבוע 7</t>
        </is>
      </c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29" t="n"/>
    </row>
    <row r="86" ht="15.75" customHeight="1" s="81">
      <c r="A86" s="28" t="n"/>
      <c r="B86" s="14" t="inlineStr">
        <is>
          <t>תאריך</t>
        </is>
      </c>
      <c r="C86" s="14" t="inlineStr">
        <is>
          <t>יום</t>
        </is>
      </c>
      <c r="D86" s="25">
        <f>D74</f>
        <v/>
      </c>
      <c r="E86" s="28" t="n"/>
      <c r="F86" s="28" t="n"/>
      <c r="G86" s="28" t="n"/>
      <c r="H86" s="28" t="n"/>
      <c r="I86" s="28" t="n"/>
      <c r="J86" s="28" t="n"/>
      <c r="K86" s="28" t="n"/>
      <c r="L86" s="2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29" t="n"/>
    </row>
    <row r="87" ht="15.75" customHeight="1" s="81">
      <c r="A87" s="28" t="n"/>
      <c r="B87" s="17">
        <f>IF(B81="","",B81+1)</f>
        <v/>
      </c>
      <c r="C87" s="18" t="inlineStr">
        <is>
          <t>א</t>
        </is>
      </c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29" t="n"/>
    </row>
    <row r="88" ht="15.75" customHeight="1" s="81">
      <c r="A88" s="28" t="n"/>
      <c r="B88" s="17">
        <f>IF(B87="","",B87+1)</f>
        <v/>
      </c>
      <c r="C88" s="18" t="inlineStr">
        <is>
          <t>ב</t>
        </is>
      </c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29" t="n"/>
    </row>
    <row r="89" ht="15.75" customHeight="1" s="81">
      <c r="A89" s="28" t="n"/>
      <c r="B89" s="17">
        <f>IF(B88="","",B88+1)</f>
        <v/>
      </c>
      <c r="C89" s="18" t="inlineStr">
        <is>
          <t>ג</t>
        </is>
      </c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29" t="n"/>
    </row>
    <row r="90" ht="15.75" customHeight="1" s="81">
      <c r="A90" s="28" t="n"/>
      <c r="B90" s="17">
        <f>IF(B89="","",B89+1)</f>
        <v/>
      </c>
      <c r="C90" s="18" t="inlineStr">
        <is>
          <t>ד</t>
        </is>
      </c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29" t="n"/>
    </row>
    <row r="91" ht="15.75" customHeight="1" s="81">
      <c r="A91" s="28" t="n"/>
      <c r="B91" s="17">
        <f>IF(B90="","",B90+1)</f>
        <v/>
      </c>
      <c r="C91" s="18" t="inlineStr">
        <is>
          <t>ה</t>
        </is>
      </c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29" t="n"/>
    </row>
    <row r="92" ht="15.75" customHeight="1" s="81">
      <c r="A92" s="28" t="n"/>
      <c r="B92" s="17">
        <f>IF(B91="","",B91+1)</f>
        <v/>
      </c>
      <c r="C92" s="18" t="inlineStr">
        <is>
          <t>ו</t>
        </is>
      </c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29" t="n"/>
    </row>
    <row r="93" ht="15.75" customHeight="1" s="81">
      <c r="A93" s="28" t="n"/>
      <c r="B93" s="17">
        <f>IF(B92="","",B92+1)</f>
        <v/>
      </c>
      <c r="C93" s="22" t="inlineStr">
        <is>
          <t>ש</t>
        </is>
      </c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29" t="n"/>
    </row>
    <row r="94" ht="15.75" customHeight="1" s="81">
      <c r="A94" s="28" t="n"/>
      <c r="B94" s="14" t="inlineStr">
        <is>
          <t>ממוצע שבועי</t>
        </is>
      </c>
      <c r="C94" s="28" t="n"/>
      <c r="D94" s="12">
        <f>IFERROR(SUM(AVERAGE(D87:D93)),"")</f>
        <v/>
      </c>
      <c r="E94" s="12" t="n"/>
      <c r="F94" s="28" t="n"/>
      <c r="G94" s="28" t="n"/>
      <c r="H94" s="28" t="n"/>
      <c r="I94" s="28" t="n"/>
      <c r="J94" s="28" t="n"/>
      <c r="K94" s="28" t="n"/>
      <c r="L94" s="2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29" t="n"/>
    </row>
    <row r="95" ht="15.75" customHeight="1" s="81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29" t="n"/>
    </row>
    <row r="96" ht="15.75" customHeight="1" s="81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29" t="n"/>
    </row>
    <row r="97" ht="15.75" customHeight="1" s="81">
      <c r="A97" s="28" t="n"/>
      <c r="B97" s="14" t="inlineStr">
        <is>
          <t>שבוע 8</t>
        </is>
      </c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29" t="n"/>
    </row>
    <row r="98" ht="15.75" customHeight="1" s="81">
      <c r="A98" s="28" t="n"/>
      <c r="B98" s="14" t="inlineStr">
        <is>
          <t>תאריך</t>
        </is>
      </c>
      <c r="C98" s="14" t="inlineStr">
        <is>
          <t>יום</t>
        </is>
      </c>
      <c r="D98" s="25" t="inlineStr">
        <is>
          <t>משקל (בוקר)</t>
        </is>
      </c>
      <c r="E98" s="28" t="n"/>
      <c r="F98" s="28" t="n"/>
      <c r="G98" s="28" t="n"/>
      <c r="H98" s="28" t="n"/>
      <c r="I98" s="28" t="n"/>
      <c r="J98" s="28" t="n"/>
      <c r="K98" s="28" t="n"/>
      <c r="L98" s="2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29" t="n"/>
    </row>
    <row r="99" ht="15.75" customHeight="1" s="81">
      <c r="A99" s="28" t="n"/>
      <c r="B99" s="17">
        <f>IF(B93="","",B93+1)</f>
        <v/>
      </c>
      <c r="C99" s="18" t="inlineStr">
        <is>
          <t>א</t>
        </is>
      </c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29" t="n"/>
    </row>
    <row r="100" ht="15.75" customHeight="1" s="81">
      <c r="A100" s="28" t="n"/>
      <c r="B100" s="17">
        <f>IF(B99="","",B99+1)</f>
        <v/>
      </c>
      <c r="C100" s="18" t="inlineStr">
        <is>
          <t>ב</t>
        </is>
      </c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29" t="n"/>
    </row>
    <row r="101" ht="15.75" customHeight="1" s="81">
      <c r="A101" s="28" t="n"/>
      <c r="B101" s="17">
        <f>IF(B100="","",B100+1)</f>
        <v/>
      </c>
      <c r="C101" s="18" t="inlineStr">
        <is>
          <t>ג</t>
        </is>
      </c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29" t="n"/>
    </row>
    <row r="102" ht="15.75" customHeight="1" s="81">
      <c r="A102" s="28" t="n"/>
      <c r="B102" s="17">
        <f>IF(B101="","",B101+1)</f>
        <v/>
      </c>
      <c r="C102" s="18" t="inlineStr">
        <is>
          <t>ד</t>
        </is>
      </c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29" t="n"/>
    </row>
    <row r="103" ht="15.75" customHeight="1" s="81">
      <c r="A103" s="28" t="n"/>
      <c r="B103" s="17">
        <f>IF(B102="","",B102+1)</f>
        <v/>
      </c>
      <c r="C103" s="18" t="inlineStr">
        <is>
          <t>ה</t>
        </is>
      </c>
      <c r="D103" s="28" t="n"/>
      <c r="E103" s="28" t="n"/>
      <c r="F103" s="28" t="n"/>
      <c r="G103" s="12" t="n"/>
      <c r="H103" s="12" t="n"/>
      <c r="I103" s="28" t="n"/>
      <c r="J103" s="28" t="n"/>
      <c r="K103" s="28" t="n"/>
      <c r="L103" s="2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29" t="n"/>
    </row>
    <row r="104" ht="15.75" customHeight="1" s="81">
      <c r="A104" s="28" t="n"/>
      <c r="B104" s="17">
        <f>IF(B103="","",B103+1)</f>
        <v/>
      </c>
      <c r="C104" s="18" t="inlineStr">
        <is>
          <t>ו</t>
        </is>
      </c>
      <c r="D104" s="28" t="n"/>
      <c r="E104" s="28" t="n"/>
      <c r="F104" s="28" t="n"/>
      <c r="G104" s="12" t="n"/>
      <c r="H104" s="12" t="n"/>
      <c r="I104" s="28" t="n"/>
      <c r="J104" s="28" t="n"/>
      <c r="K104" s="28" t="n"/>
      <c r="L104" s="2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29" t="n"/>
    </row>
    <row r="105" ht="15.75" customHeight="1" s="81">
      <c r="A105" s="28" t="n"/>
      <c r="B105" s="17">
        <f>IF(B104="","",B104+1)</f>
        <v/>
      </c>
      <c r="C105" s="22" t="inlineStr">
        <is>
          <t>ש</t>
        </is>
      </c>
      <c r="D105" s="28" t="n"/>
      <c r="E105" s="28" t="n"/>
      <c r="F105" s="28" t="n"/>
      <c r="G105" s="12" t="n"/>
      <c r="H105" s="12" t="n"/>
      <c r="I105" s="28" t="n"/>
      <c r="J105" s="28" t="n"/>
      <c r="K105" s="28" t="n"/>
      <c r="L105" s="2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29" t="n"/>
    </row>
    <row r="106" ht="15.75" customHeight="1" s="81">
      <c r="A106" s="28" t="n"/>
      <c r="B106" s="14" t="inlineStr">
        <is>
          <t>ממוצע שבועי</t>
        </is>
      </c>
      <c r="C106" s="28" t="n"/>
      <c r="D106" s="12">
        <f>IFERROR(SUM(AVERAGE(D99:D105)),"")</f>
        <v/>
      </c>
      <c r="E106" s="12" t="n"/>
      <c r="F106" s="28" t="n"/>
      <c r="G106" s="12" t="n"/>
      <c r="H106" s="12" t="n"/>
      <c r="I106" s="28" t="n"/>
      <c r="J106" s="28" t="n"/>
      <c r="K106" s="28" t="n"/>
      <c r="L106" s="2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29" t="n"/>
    </row>
    <row r="107" ht="15.75" customHeight="1" s="81">
      <c r="A107" s="28" t="n"/>
      <c r="B107" s="28" t="n"/>
      <c r="C107" s="28" t="n"/>
      <c r="D107" s="28" t="n"/>
      <c r="E107" s="28" t="n"/>
      <c r="F107" s="28" t="n"/>
      <c r="G107" s="12" t="n"/>
      <c r="H107" s="12" t="n"/>
      <c r="I107" s="28" t="n"/>
      <c r="J107" s="28" t="n"/>
      <c r="K107" s="28" t="n"/>
      <c r="L107" s="28" t="n"/>
      <c r="M107" s="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</row>
    <row r="108" hidden="1" s="81">
      <c r="A108" s="28" t="n"/>
      <c r="B108" s="28" t="n"/>
      <c r="C108" s="28" t="n"/>
      <c r="D108" s="28" t="n"/>
      <c r="E108" s="28" t="n"/>
      <c r="F108" s="28" t="n"/>
      <c r="G108" s="12" t="n"/>
      <c r="H108" s="12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</row>
    <row r="109" hidden="1" s="81">
      <c r="A109" s="28" t="n"/>
      <c r="B109" s="28" t="n"/>
      <c r="C109" s="28" t="n"/>
      <c r="D109" s="28" t="n"/>
      <c r="E109" s="28" t="n"/>
      <c r="F109" s="28" t="n"/>
      <c r="G109" s="12" t="n"/>
      <c r="H109" s="12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</row>
    <row r="110" ht="15.75" customHeight="1" s="81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30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</row>
    <row r="111" ht="15.75" customHeight="1" s="81">
      <c r="A111" s="28" t="n"/>
      <c r="B111" s="14" t="inlineStr">
        <is>
          <t>שבוע 9</t>
        </is>
      </c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30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</row>
    <row r="112" ht="15.75" customHeight="1" s="81">
      <c r="A112" s="28" t="n"/>
      <c r="B112" s="14" t="inlineStr">
        <is>
          <t>תאריך</t>
        </is>
      </c>
      <c r="C112" s="14" t="inlineStr">
        <is>
          <t>יום</t>
        </is>
      </c>
      <c r="D112" s="25" t="inlineStr">
        <is>
          <t>משקל (בוקר)</t>
        </is>
      </c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30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</row>
    <row r="113" ht="15.75" customHeight="1" s="81">
      <c r="A113" s="28" t="n"/>
      <c r="B113" s="17">
        <f>IF(B105="","",B105+1)</f>
        <v/>
      </c>
      <c r="C113" s="18" t="inlineStr">
        <is>
          <t>א</t>
        </is>
      </c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30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</row>
    <row r="114" ht="15.75" customHeight="1" s="81">
      <c r="A114" s="28" t="n"/>
      <c r="B114" s="17">
        <f>IF(B113="","",B113+1)</f>
        <v/>
      </c>
      <c r="C114" s="18" t="inlineStr">
        <is>
          <t>ב</t>
        </is>
      </c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30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</row>
    <row r="115" ht="15.75" customHeight="1" s="81">
      <c r="A115" s="28" t="n"/>
      <c r="B115" s="17">
        <f>IF(B114="","",B114+1)</f>
        <v/>
      </c>
      <c r="C115" s="18" t="inlineStr">
        <is>
          <t>ג</t>
        </is>
      </c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30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</row>
    <row r="116" ht="15.75" customHeight="1" s="81">
      <c r="A116" s="28" t="n"/>
      <c r="B116" s="17">
        <f>IF(B115="","",B115+1)</f>
        <v/>
      </c>
      <c r="C116" s="18" t="inlineStr">
        <is>
          <t>ד</t>
        </is>
      </c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30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</row>
    <row r="117" ht="15.75" customHeight="1" s="81">
      <c r="A117" s="28" t="n"/>
      <c r="B117" s="17">
        <f>IF(B116="","",B116+1)</f>
        <v/>
      </c>
      <c r="C117" s="18" t="inlineStr">
        <is>
          <t>ה</t>
        </is>
      </c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30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</row>
    <row r="118" ht="15.75" customHeight="1" s="81">
      <c r="A118" s="28" t="n"/>
      <c r="B118" s="17">
        <f>IF(B117="","",B117+1)</f>
        <v/>
      </c>
      <c r="C118" s="18" t="inlineStr">
        <is>
          <t>ו</t>
        </is>
      </c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30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</row>
    <row r="119" ht="15.75" customHeight="1" s="81">
      <c r="A119" s="28" t="n"/>
      <c r="B119" s="17">
        <f>IF(B118="","",B118+1)</f>
        <v/>
      </c>
      <c r="C119" s="22" t="inlineStr">
        <is>
          <t>ש</t>
        </is>
      </c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30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</row>
    <row r="120" ht="15.75" customHeight="1" s="81">
      <c r="A120" s="28" t="n"/>
      <c r="B120" s="14" t="inlineStr">
        <is>
          <t>ממוצע שבועי</t>
        </is>
      </c>
      <c r="C120" s="28" t="n"/>
      <c r="D120" s="23">
        <f>IFERROR(SUM(AVERAGE(D113:D119)),"")</f>
        <v/>
      </c>
      <c r="E120" s="12" t="n"/>
      <c r="F120" s="28" t="n"/>
      <c r="G120" s="28" t="n"/>
      <c r="H120" s="28" t="n"/>
      <c r="I120" s="28" t="n"/>
      <c r="J120" s="28" t="n"/>
      <c r="K120" s="28" t="n"/>
      <c r="L120" s="28" t="n"/>
      <c r="M120" s="30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</row>
    <row r="121" ht="15.75" customHeight="1" s="8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30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</row>
    <row r="122" ht="15.75" customHeight="1" s="81">
      <c r="A122" s="28" t="n"/>
      <c r="B122" s="14" t="inlineStr">
        <is>
          <t>שבוע 10</t>
        </is>
      </c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30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</row>
    <row r="123" ht="15.75" customHeight="1" s="81">
      <c r="A123" s="28" t="n"/>
      <c r="B123" s="14" t="inlineStr">
        <is>
          <t>תאריך</t>
        </is>
      </c>
      <c r="C123" s="14" t="inlineStr">
        <is>
          <t>יום</t>
        </is>
      </c>
      <c r="D123" s="25">
        <f>D112</f>
        <v/>
      </c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30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</row>
    <row r="124" ht="15.75" customHeight="1" s="81">
      <c r="A124" s="28" t="n"/>
      <c r="B124" s="17">
        <f>IF(B119="","",B119+1)</f>
        <v/>
      </c>
      <c r="C124" s="18" t="inlineStr">
        <is>
          <t>א</t>
        </is>
      </c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30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</row>
    <row r="125" ht="15.75" customHeight="1" s="81">
      <c r="A125" s="28" t="n"/>
      <c r="B125" s="17">
        <f>IF(B124="","",B124+1)</f>
        <v/>
      </c>
      <c r="C125" s="18" t="inlineStr">
        <is>
          <t>ב</t>
        </is>
      </c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30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</row>
    <row r="126" ht="15.75" customHeight="1" s="81">
      <c r="A126" s="28" t="n"/>
      <c r="B126" s="17">
        <f>IF(B125="","",B125+1)</f>
        <v/>
      </c>
      <c r="C126" s="18" t="inlineStr">
        <is>
          <t>ג</t>
        </is>
      </c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30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</row>
    <row r="127" ht="15.75" customHeight="1" s="81">
      <c r="A127" s="28" t="n"/>
      <c r="B127" s="17">
        <f>IF(B126="","",B126+1)</f>
        <v/>
      </c>
      <c r="C127" s="18" t="inlineStr">
        <is>
          <t>ד</t>
        </is>
      </c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30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</row>
    <row r="128" ht="15.75" customHeight="1" s="81">
      <c r="A128" s="28" t="n"/>
      <c r="B128" s="17">
        <f>IF(B127="","",B127+1)</f>
        <v/>
      </c>
      <c r="C128" s="18" t="inlineStr">
        <is>
          <t>ה</t>
        </is>
      </c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30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</row>
    <row r="129" ht="15.75" customHeight="1" s="81">
      <c r="A129" s="28" t="n"/>
      <c r="B129" s="17">
        <f>IF(B128="","",B128+1)</f>
        <v/>
      </c>
      <c r="C129" s="18" t="inlineStr">
        <is>
          <t>ו</t>
        </is>
      </c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30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</row>
    <row r="130" ht="15.75" customHeight="1" s="81">
      <c r="A130" s="28" t="n"/>
      <c r="B130" s="17">
        <f>IF(B129="","",B129+1)</f>
        <v/>
      </c>
      <c r="C130" s="22" t="inlineStr">
        <is>
          <t>ש</t>
        </is>
      </c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30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</row>
    <row r="131" ht="15.75" customHeight="1" s="81">
      <c r="A131" s="28" t="n"/>
      <c r="B131" s="14" t="inlineStr">
        <is>
          <t>ממוצע שבועי</t>
        </is>
      </c>
      <c r="C131" s="28" t="n"/>
      <c r="D131" s="12">
        <f>IFERROR(SUM(AVERAGE(D124:D130)),"")</f>
        <v/>
      </c>
      <c r="E131" s="12" t="n"/>
      <c r="F131" s="28" t="n"/>
      <c r="G131" s="28" t="n"/>
      <c r="H131" s="28" t="n"/>
      <c r="I131" s="28" t="n"/>
      <c r="J131" s="28" t="n"/>
      <c r="K131" s="28" t="n"/>
      <c r="L131" s="28" t="n"/>
      <c r="M131" s="30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</row>
    <row r="132" ht="15.75" customHeight="1" s="8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30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</row>
    <row r="133" ht="15.75" customHeight="1" s="81">
      <c r="A133" s="28" t="n"/>
      <c r="B133" s="14" t="inlineStr">
        <is>
          <t>שבוע 11</t>
        </is>
      </c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30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</row>
    <row r="134" ht="15.75" customHeight="1" s="81">
      <c r="A134" s="28" t="n"/>
      <c r="B134" s="14" t="inlineStr">
        <is>
          <t>תאריך</t>
        </is>
      </c>
      <c r="C134" s="14" t="inlineStr">
        <is>
          <t>יום</t>
        </is>
      </c>
      <c r="D134" s="25">
        <f>D123</f>
        <v/>
      </c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30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</row>
    <row r="135" ht="15.75" customHeight="1" s="81">
      <c r="A135" s="28" t="n"/>
      <c r="B135" s="17">
        <f>IF(B130="","",B130+1)</f>
        <v/>
      </c>
      <c r="C135" s="18" t="inlineStr">
        <is>
          <t>א</t>
        </is>
      </c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30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</row>
    <row r="136" ht="15.75" customHeight="1" s="81">
      <c r="A136" s="28" t="n"/>
      <c r="B136" s="17">
        <f>IF(B135="","",B135+1)</f>
        <v/>
      </c>
      <c r="C136" s="18" t="inlineStr">
        <is>
          <t>ב</t>
        </is>
      </c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30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</row>
    <row r="137" ht="15.75" customHeight="1" s="81">
      <c r="A137" s="28" t="n"/>
      <c r="B137" s="17">
        <f>IF(B136="","",B136+1)</f>
        <v/>
      </c>
      <c r="C137" s="18" t="inlineStr">
        <is>
          <t>ג</t>
        </is>
      </c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30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</row>
    <row r="138" ht="15.75" customHeight="1" s="81">
      <c r="A138" s="28" t="n"/>
      <c r="B138" s="17">
        <f>IF(B137="","",B137+1)</f>
        <v/>
      </c>
      <c r="C138" s="18" t="inlineStr">
        <is>
          <t>ד</t>
        </is>
      </c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30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</row>
    <row r="139" ht="15.75" customHeight="1" s="81">
      <c r="A139" s="28" t="n"/>
      <c r="B139" s="17">
        <f>IF(B138="","",B138+1)</f>
        <v/>
      </c>
      <c r="C139" s="18" t="inlineStr">
        <is>
          <t>ה</t>
        </is>
      </c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30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</row>
    <row r="140" ht="15.75" customHeight="1" s="81">
      <c r="A140" s="28" t="n"/>
      <c r="B140" s="17">
        <f>IF(B139="","",B139+1)</f>
        <v/>
      </c>
      <c r="C140" s="18" t="inlineStr">
        <is>
          <t>ו</t>
        </is>
      </c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30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</row>
    <row r="141" ht="15.75" customHeight="1" s="81">
      <c r="A141" s="28" t="n"/>
      <c r="B141" s="17">
        <f>IF(B140="","",B140+1)</f>
        <v/>
      </c>
      <c r="C141" s="22" t="inlineStr">
        <is>
          <t>ש</t>
        </is>
      </c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30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</row>
    <row r="142" ht="15.75" customHeight="1" s="81">
      <c r="A142" s="28" t="n"/>
      <c r="B142" s="14" t="inlineStr">
        <is>
          <t>ממוצע שבועי</t>
        </is>
      </c>
      <c r="C142" s="28" t="n"/>
      <c r="D142" s="12">
        <f>IFERROR(SUM(AVERAGE(D135:D141)),"")</f>
        <v/>
      </c>
      <c r="E142" s="12" t="n"/>
      <c r="F142" s="28" t="n"/>
      <c r="G142" s="28" t="n"/>
      <c r="H142" s="28" t="n"/>
      <c r="I142" s="28" t="n"/>
      <c r="J142" s="28" t="n"/>
      <c r="K142" s="28" t="n"/>
      <c r="L142" s="28" t="n"/>
      <c r="M142" s="30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</row>
    <row r="143" ht="15.75" customHeight="1" s="8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30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</row>
    <row r="144" ht="15.75" customHeight="1" s="81">
      <c r="A144" s="28" t="n"/>
      <c r="B144" s="14" t="inlineStr">
        <is>
          <t>שבוע 12</t>
        </is>
      </c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30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</row>
    <row r="145" ht="15.75" customHeight="1" s="81">
      <c r="A145" s="28" t="n"/>
      <c r="B145" s="14" t="inlineStr">
        <is>
          <t xml:space="preserve">תאריך </t>
        </is>
      </c>
      <c r="C145" s="14" t="inlineStr">
        <is>
          <t>יום</t>
        </is>
      </c>
      <c r="D145" s="25" t="inlineStr">
        <is>
          <t>משקל (בוקר)</t>
        </is>
      </c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30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</row>
    <row r="146" ht="15.75" customHeight="1" s="81">
      <c r="A146" s="28" t="n"/>
      <c r="B146" s="17">
        <f>IF(B141="","",B141+1)</f>
        <v/>
      </c>
      <c r="C146" s="18" t="inlineStr">
        <is>
          <t>א</t>
        </is>
      </c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30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</row>
    <row r="147" ht="15.75" customHeight="1" s="81">
      <c r="A147" s="28" t="n"/>
      <c r="B147" s="17">
        <f>IF(B146="","",B146+1)</f>
        <v/>
      </c>
      <c r="C147" s="18" t="inlineStr">
        <is>
          <t>ב</t>
        </is>
      </c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30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</row>
    <row r="148" ht="15.75" customHeight="1" s="81">
      <c r="A148" s="28" t="n"/>
      <c r="B148" s="17">
        <f>IF(B147="","",B147+1)</f>
        <v/>
      </c>
      <c r="C148" s="18" t="inlineStr">
        <is>
          <t>ג</t>
        </is>
      </c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30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</row>
    <row r="149" ht="15.75" customHeight="1" s="81">
      <c r="A149" s="28" t="n"/>
      <c r="B149" s="17">
        <f>IF(B148="","",B148+1)</f>
        <v/>
      </c>
      <c r="C149" s="18" t="inlineStr">
        <is>
          <t>ד</t>
        </is>
      </c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30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</row>
    <row r="150" ht="15.75" customHeight="1" s="81">
      <c r="A150" s="28" t="n"/>
      <c r="B150" s="17">
        <f>IF(B149="","",B149+1)</f>
        <v/>
      </c>
      <c r="C150" s="18" t="inlineStr">
        <is>
          <t>ה</t>
        </is>
      </c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30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</row>
    <row r="151" ht="15.75" customHeight="1" s="81">
      <c r="A151" s="28" t="n"/>
      <c r="B151" s="17">
        <f>IF(B150="","",B150+1)</f>
        <v/>
      </c>
      <c r="C151" s="18" t="inlineStr">
        <is>
          <t>ו</t>
        </is>
      </c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30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</row>
    <row r="152" ht="15.75" customHeight="1" s="81">
      <c r="A152" s="28" t="n"/>
      <c r="B152" s="17">
        <f>IF(B151="","",B151+1)</f>
        <v/>
      </c>
      <c r="C152" s="22" t="inlineStr">
        <is>
          <t>ש</t>
        </is>
      </c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30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</row>
    <row r="153" ht="15.75" customHeight="1" s="81">
      <c r="A153" s="28" t="n"/>
      <c r="B153" s="14" t="inlineStr">
        <is>
          <t>ממוצע שבועי</t>
        </is>
      </c>
      <c r="C153" s="28" t="n"/>
      <c r="D153" s="12">
        <f>IFERROR(SUM(AVERAGE(D146:D152)),"")</f>
        <v/>
      </c>
      <c r="E153" s="12" t="n"/>
      <c r="F153" s="28" t="n"/>
      <c r="G153" s="28" t="n"/>
      <c r="H153" s="28" t="n"/>
      <c r="I153" s="28" t="n"/>
      <c r="J153" s="28" t="n"/>
      <c r="K153" s="28" t="n"/>
      <c r="L153" s="28" t="n"/>
      <c r="M153" s="30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</row>
    <row r="154" ht="15.75" customHeight="1" s="8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30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</row>
    <row r="155" ht="7.5" customHeight="1" s="81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1" t="n"/>
    </row>
  </sheetData>
  <mergeCells count="5">
    <mergeCell ref="B2:D3"/>
    <mergeCell ref="B9:E9"/>
    <mergeCell ref="B8:E8"/>
    <mergeCell ref="B6:E6"/>
    <mergeCell ref="B11:E11"/>
  </mergeCells>
  <pageMargins left="0.7" right="0.7" top="0.75" bottom="0.75" header="0" footer="0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FF026CB5"/>
    <outlinePr summaryBelow="1" summaryRight="1"/>
    <pageSetUpPr/>
  </sheetPr>
  <dimension ref="A1:M67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3.71" customWidth="1" style="81" min="1" max="1"/>
    <col width="15.57" customWidth="1" style="81" min="2" max="2"/>
    <col width="9.859999999999999" customWidth="1" style="81" min="3" max="3"/>
    <col width="9.43" customWidth="1" style="81" min="4" max="4"/>
    <col width="11.57" customWidth="1" style="81" min="5" max="6"/>
    <col hidden="1" width="9.710000000000001" customWidth="1" style="81" min="7" max="7"/>
    <col width="17.14" customWidth="1" style="81" min="9" max="9"/>
    <col width="17.86" customWidth="1" style="81" min="10" max="10"/>
    <col hidden="1" width="12.86" customWidth="1" style="81" min="11" max="11"/>
    <col width="4.14" customWidth="1" style="81" min="12" max="12"/>
    <col width="1.29" customWidth="1" style="81" min="13" max="13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31" t="n"/>
      <c r="L1" s="29" t="n"/>
      <c r="M1" s="29" t="n"/>
    </row>
    <row r="2" ht="15" customHeight="1" s="81">
      <c r="A2" s="29" t="n"/>
      <c r="B2" s="32" t="inlineStr">
        <is>
          <t>היקפים</t>
        </is>
      </c>
      <c r="E2" s="29" t="n"/>
      <c r="F2" s="29" t="n"/>
      <c r="G2" s="29" t="n"/>
      <c r="H2" s="29" t="n"/>
      <c r="I2" s="29" t="n"/>
      <c r="J2" s="29" t="n"/>
      <c r="K2" s="31" t="n"/>
      <c r="L2" s="29" t="n"/>
      <c r="M2" s="29" t="n"/>
    </row>
    <row r="3" ht="15" customHeight="1" s="81">
      <c r="A3" s="29" t="n"/>
      <c r="E3" s="29" t="n"/>
      <c r="F3" s="29" t="n"/>
      <c r="G3" s="29" t="n"/>
      <c r="H3" s="29" t="n"/>
      <c r="I3" s="29" t="n"/>
      <c r="J3" s="29" t="n"/>
      <c r="K3" s="31" t="n"/>
      <c r="L3" s="29" t="n"/>
      <c r="M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31" t="n"/>
      <c r="L4" s="29" t="n"/>
      <c r="M4" s="29" t="n"/>
    </row>
    <row r="5">
      <c r="B5" s="34" t="n"/>
      <c r="C5" s="34" t="n"/>
      <c r="D5" s="34" t="n"/>
      <c r="E5" s="34" t="n"/>
      <c r="F5" s="34" t="n"/>
      <c r="G5" s="34" t="n"/>
      <c r="M5" s="29" t="n"/>
    </row>
    <row r="6">
      <c r="B6" s="89" t="inlineStr">
        <is>
          <t>הוראות</t>
        </is>
      </c>
      <c r="C6" s="90" t="n"/>
      <c r="D6" s="90" t="n"/>
      <c r="E6" s="90" t="n"/>
      <c r="F6" s="90" t="n"/>
      <c r="G6" s="90" t="n"/>
      <c r="H6" s="91" t="n"/>
      <c r="I6" s="38" t="n"/>
      <c r="M6" s="29" t="n"/>
    </row>
    <row r="7">
      <c r="A7" s="39" t="n"/>
      <c r="B7" s="92" t="inlineStr">
        <is>
          <t>בצע היקפים אחת לשבועיים</t>
        </is>
      </c>
      <c r="H7" s="93" t="n"/>
      <c r="M7" s="29" t="n"/>
    </row>
    <row r="8">
      <c r="A8" s="39" t="n"/>
      <c r="B8" s="92" t="n"/>
      <c r="H8" s="93" t="n"/>
      <c r="M8" s="29" t="n"/>
    </row>
    <row r="9">
      <c r="A9" s="39" t="n"/>
      <c r="B9" s="92" t="n"/>
      <c r="H9" s="93" t="n"/>
      <c r="M9" s="29" t="n"/>
    </row>
    <row r="10">
      <c r="A10" s="39" t="n"/>
      <c r="B10" s="92" t="n"/>
      <c r="H10" s="93" t="n"/>
      <c r="M10" s="29" t="n"/>
    </row>
    <row r="11">
      <c r="A11" s="39" t="n"/>
      <c r="B11" s="92" t="n"/>
      <c r="H11" s="93" t="n"/>
      <c r="M11" s="29" t="n"/>
    </row>
    <row r="12">
      <c r="A12" s="39" t="n"/>
      <c r="B12" s="92" t="n"/>
      <c r="H12" s="93" t="n"/>
      <c r="M12" s="29" t="n"/>
    </row>
    <row r="13">
      <c r="A13" s="39" t="n"/>
      <c r="B13" s="43" t="n"/>
      <c r="F13" s="44" t="n"/>
      <c r="G13" s="45" t="n"/>
      <c r="H13" s="46" t="n"/>
      <c r="M13" s="29" t="n"/>
    </row>
    <row r="14">
      <c r="A14" s="39" t="n"/>
      <c r="B14" s="94" t="inlineStr">
        <is>
          <t>מדידת ירך לעשות בקו בוקסר</t>
        </is>
      </c>
      <c r="C14" s="95" t="n"/>
      <c r="D14" s="95" t="n"/>
      <c r="E14" s="95" t="n"/>
      <c r="F14" s="95" t="n"/>
      <c r="G14" s="95" t="n"/>
      <c r="H14" s="96" t="n"/>
      <c r="M14" s="29" t="n"/>
    </row>
    <row r="15">
      <c r="A15" s="39" t="n"/>
      <c r="B15" s="94" t="inlineStr">
        <is>
          <t>מומלץ להוסיף מדידת חזה וכתפיים ובשביל זה תצטרך להעזר במישהו</t>
        </is>
      </c>
      <c r="C15" s="95" t="n"/>
      <c r="D15" s="95" t="n"/>
      <c r="E15" s="95" t="n"/>
      <c r="F15" s="95" t="n"/>
      <c r="G15" s="95" t="n"/>
      <c r="H15" s="96" t="n"/>
      <c r="M15" s="29" t="n"/>
    </row>
    <row r="16">
      <c r="A16" s="39" t="n"/>
      <c r="B16" s="94" t="inlineStr">
        <is>
          <t>חזה-להרים ידיים לצדדים סרט מדידה בקו פטמות ואז להוריד ידיים</t>
        </is>
      </c>
      <c r="C16" s="95" t="n"/>
      <c r="D16" s="95" t="n"/>
      <c r="E16" s="95" t="n"/>
      <c r="F16" s="95" t="n"/>
      <c r="G16" s="95" t="n"/>
      <c r="H16" s="96" t="n"/>
      <c r="M16" s="29" t="n"/>
    </row>
    <row r="17">
      <c r="A17" s="39" t="n"/>
      <c r="B17" s="97" t="inlineStr">
        <is>
          <t>כתפיים- ידיים לצידי הגוף וסרט מדידה מקיף הכל בקו פטמות</t>
        </is>
      </c>
      <c r="C17" s="98" t="n"/>
      <c r="D17" s="98" t="n"/>
      <c r="E17" s="98" t="n"/>
      <c r="F17" s="98" t="n"/>
      <c r="G17" s="98" t="n"/>
      <c r="H17" s="99" t="n"/>
      <c r="M17" s="29" t="n"/>
    </row>
    <row r="18">
      <c r="B18" s="100" t="n"/>
      <c r="C18" s="101" t="n"/>
      <c r="D18" s="101" t="n"/>
      <c r="E18" s="101" t="n"/>
      <c r="F18" s="101" t="n"/>
      <c r="G18" s="101" t="n"/>
      <c r="H18" s="102" t="n"/>
      <c r="I18" s="34" t="n"/>
      <c r="J18" s="34" t="n"/>
      <c r="M18" s="29" t="n"/>
    </row>
    <row r="19">
      <c r="B19" s="103" t="inlineStr">
        <is>
          <t>הנתונים בקובץ הן לדגומא, למחוק ולהזין את ההקיפים שלך</t>
        </is>
      </c>
      <c r="C19" s="104" t="n"/>
      <c r="D19" s="104" t="n"/>
      <c r="E19" s="104" t="n"/>
      <c r="F19" s="104" t="n"/>
      <c r="G19" s="104" t="n"/>
      <c r="H19" s="105" t="n"/>
      <c r="I19" s="34" t="n"/>
      <c r="J19" s="34" t="n"/>
      <c r="M19" s="29" t="n"/>
    </row>
    <row r="20">
      <c r="B20" s="34" t="n"/>
      <c r="C20" s="34" t="n"/>
      <c r="D20" s="34" t="n"/>
      <c r="F20" s="59" t="n"/>
      <c r="G20" s="34" t="n"/>
      <c r="H20" s="34" t="n"/>
      <c r="I20" s="34" t="n"/>
      <c r="J20" s="34" t="n"/>
      <c r="M20" s="29" t="n"/>
    </row>
    <row r="21" ht="3" customHeight="1" s="81">
      <c r="B21" s="59" t="n"/>
      <c r="C21" s="59" t="n"/>
      <c r="D21" s="60" t="n"/>
      <c r="F21" s="59" t="n"/>
      <c r="G21" s="34" t="n"/>
      <c r="H21" s="34" t="n"/>
      <c r="I21" s="34" t="n"/>
      <c r="J21" s="34" t="n"/>
      <c r="M21" s="29" t="n"/>
    </row>
    <row r="22">
      <c r="B22" s="61" t="inlineStr">
        <is>
          <t>יום המדידה</t>
        </is>
      </c>
      <c r="C22" s="61" t="inlineStr">
        <is>
          <t>בטן</t>
        </is>
      </c>
      <c r="D22" s="61" t="inlineStr">
        <is>
          <t>יד ימין</t>
        </is>
      </c>
      <c r="E22" s="61" t="inlineStr">
        <is>
          <t>יד שמאל</t>
        </is>
      </c>
      <c r="F22" s="61" t="inlineStr">
        <is>
          <t>כתפיים</t>
        </is>
      </c>
      <c r="G22" s="61" t="inlineStr">
        <is>
          <t>חזה</t>
        </is>
      </c>
      <c r="H22" s="62" t="inlineStr">
        <is>
          <t>ירך ימין</t>
        </is>
      </c>
      <c r="I22" s="62" t="inlineStr">
        <is>
          <t>ירך שמאל</t>
        </is>
      </c>
      <c r="J22" s="80" t="inlineStr">
        <is>
          <t> </t>
        </is>
      </c>
      <c r="K22" s="61" t="inlineStr">
        <is>
          <t>יד (ממוצע)</t>
        </is>
      </c>
      <c r="M22" s="29" t="n"/>
    </row>
    <row r="23">
      <c r="B23" s="64" t="n">
        <v>44879</v>
      </c>
      <c r="C23" s="66" t="n">
        <v>88</v>
      </c>
      <c r="D23" s="66" t="n">
        <v>38.5</v>
      </c>
      <c r="E23" s="66" t="n">
        <v>38</v>
      </c>
      <c r="F23" s="66" t="n">
        <v>118</v>
      </c>
      <c r="G23" s="66" t="n"/>
      <c r="H23" s="66" t="n">
        <v>57</v>
      </c>
      <c r="I23" s="66" t="n">
        <v>57</v>
      </c>
      <c r="J23" s="66" t="inlineStr">
        <is>
          <t> </t>
        </is>
      </c>
      <c r="K23" s="66">
        <f>AVERAGE(D23:E23)</f>
        <v/>
      </c>
      <c r="M23" s="29" t="n"/>
    </row>
    <row r="24">
      <c r="B24" s="64">
        <f>IF(B23="","",B23+14)</f>
        <v/>
      </c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>
        <f>AVERAGE(I24:J24)</f>
        <v/>
      </c>
      <c r="M24" s="29" t="n"/>
    </row>
    <row r="25">
      <c r="B25" s="64">
        <f>IF(B24="","",B24+14)</f>
        <v/>
      </c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>
        <f>AVERAGE(I25:J25)</f>
        <v/>
      </c>
      <c r="M25" s="29" t="n"/>
    </row>
    <row r="26">
      <c r="B26" s="64">
        <f>IF(B25="","",B25+14)</f>
        <v/>
      </c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>
        <f>AVERAGE(I26:J26)</f>
        <v/>
      </c>
      <c r="M26" s="29" t="n"/>
    </row>
    <row r="27">
      <c r="B27" s="64">
        <f>IF(B26="","",B26+14)</f>
        <v/>
      </c>
      <c r="I27" s="66" t="n"/>
      <c r="J27" s="66" t="n"/>
      <c r="K27" s="66">
        <f>AVERAGE(I27:J27)</f>
        <v/>
      </c>
      <c r="M27" s="29" t="n"/>
    </row>
    <row r="28" ht="15.75" customHeight="1" s="81">
      <c r="B28" s="64">
        <f>IF(B27="","",B27+14)</f>
        <v/>
      </c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>
        <f>AVERAGE(I28:J28)</f>
        <v/>
      </c>
      <c r="M28" s="29" t="n"/>
    </row>
    <row r="29" ht="15.75" customHeight="1" s="81">
      <c r="B29" s="64">
        <f>IF(B28="","",B28+14)</f>
        <v/>
      </c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>
        <f>AVERAGE(I29:J29)</f>
        <v/>
      </c>
      <c r="M29" s="29" t="n"/>
    </row>
    <row r="30" ht="15.75" customHeight="1" s="81">
      <c r="B30" s="64">
        <f>IF(B29="","",B29+14)</f>
        <v/>
      </c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>
        <f>AVERAGE(I30:J30)</f>
        <v/>
      </c>
      <c r="M30" s="29" t="n"/>
    </row>
    <row r="31" ht="15.75" customHeight="1" s="81">
      <c r="B31" s="64">
        <f>IF(B30="","",B30+14)</f>
        <v/>
      </c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>
        <f>AVERAGE(I31:J31)</f>
        <v/>
      </c>
      <c r="M31" s="29" t="n"/>
    </row>
    <row r="32" ht="15.75" customHeight="1" s="81">
      <c r="B32" s="64">
        <f>IF(B31="","",B31+14)</f>
        <v/>
      </c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>
        <f>AVERAGE(I32:J32)</f>
        <v/>
      </c>
      <c r="M32" s="29" t="n"/>
    </row>
    <row r="33" ht="15.75" customHeight="1" s="81">
      <c r="B33" s="64">
        <f>IF(B32="","",B32+14)</f>
        <v/>
      </c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>
        <f>AVERAGE(I33:J33)</f>
        <v/>
      </c>
      <c r="M33" s="29" t="n"/>
    </row>
    <row r="34" ht="15.75" customHeight="1" s="81">
      <c r="B34" s="64">
        <f>IF(B33="","",B33+14)</f>
        <v/>
      </c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>
        <f>AVERAGE(I34:J34)</f>
        <v/>
      </c>
      <c r="M34" s="29" t="n"/>
    </row>
    <row r="35" ht="15.75" customHeight="1" s="81">
      <c r="B35" s="64">
        <f>IF(B34="","",B34+14)</f>
        <v/>
      </c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>
        <f>AVERAGE(I35:J35)</f>
        <v/>
      </c>
      <c r="M35" s="29" t="n"/>
    </row>
    <row r="36" ht="15.75" customHeight="1" s="81">
      <c r="B36" s="64">
        <f>IF(B35="","",B35+14)</f>
        <v/>
      </c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>
        <f>AVERAGE(I36:J36)</f>
        <v/>
      </c>
      <c r="M36" s="29" t="n"/>
    </row>
    <row r="37" ht="15.75" customHeight="1" s="81">
      <c r="B37" s="67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>
        <f>AVERAGE(I37:J37)</f>
        <v/>
      </c>
      <c r="M37" s="29" t="n"/>
    </row>
    <row r="38" ht="15.75" customHeight="1" s="81">
      <c r="B38" s="67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>
        <f>AVERAGE(I38:J38)</f>
        <v/>
      </c>
      <c r="M38" s="29" t="n"/>
    </row>
    <row r="39" ht="15.75" customHeight="1" s="81">
      <c r="B39" s="67" t="n"/>
      <c r="C39" s="66" t="n"/>
      <c r="D39" s="66" t="n"/>
      <c r="E39" s="66" t="n"/>
      <c r="F39" s="66" t="n"/>
      <c r="G39" s="66" t="n"/>
      <c r="H39" s="66" t="n"/>
      <c r="I39" s="66" t="n"/>
      <c r="J39" s="68" t="n"/>
      <c r="M39" s="29" t="n"/>
    </row>
    <row r="40" ht="15.75" customHeight="1" s="81">
      <c r="B40" s="67" t="n"/>
      <c r="C40" s="66" t="n"/>
      <c r="D40" s="66" t="n"/>
      <c r="E40" s="66" t="n"/>
      <c r="F40" s="66" t="n"/>
      <c r="G40" s="66" t="n"/>
      <c r="H40" s="66" t="n"/>
      <c r="I40" s="66" t="n"/>
      <c r="J40" s="68" t="n"/>
      <c r="M40" s="29" t="n"/>
    </row>
    <row r="41" ht="15.75" customHeight="1" s="81">
      <c r="B41" s="67" t="n"/>
      <c r="C41" s="66" t="n"/>
      <c r="D41" s="66" t="n"/>
      <c r="E41" s="66" t="n"/>
      <c r="F41" s="66" t="n"/>
      <c r="G41" s="66" t="n"/>
      <c r="H41" s="66" t="n"/>
      <c r="I41" s="66" t="n"/>
      <c r="J41" s="68" t="n"/>
      <c r="M41" s="29" t="n"/>
    </row>
    <row r="42" ht="15.75" customHeight="1" s="81">
      <c r="B42" s="69" t="n"/>
      <c r="C42" s="66" t="n"/>
      <c r="D42" s="66" t="n"/>
      <c r="E42" s="66" t="n"/>
      <c r="F42" s="66" t="n"/>
      <c r="G42" s="66" t="n"/>
      <c r="H42" s="66" t="n"/>
      <c r="I42" s="66" t="n"/>
      <c r="J42" s="68" t="n"/>
      <c r="M42" s="29" t="n"/>
    </row>
    <row r="43" ht="15.75" customHeight="1" s="81">
      <c r="B43" s="67" t="n"/>
      <c r="C43" s="66" t="n"/>
      <c r="D43" s="66" t="n"/>
      <c r="E43" s="66" t="n"/>
      <c r="F43" s="66" t="n"/>
      <c r="G43" s="66" t="n"/>
      <c r="H43" s="66" t="n"/>
      <c r="I43" s="66" t="n"/>
      <c r="J43" s="68" t="n"/>
      <c r="M43" s="29" t="n"/>
    </row>
    <row r="44" ht="15.75" customHeight="1" s="81">
      <c r="B44" s="67" t="n"/>
      <c r="C44" s="66" t="n"/>
      <c r="D44" s="66" t="n"/>
      <c r="E44" s="66" t="n"/>
      <c r="F44" s="66" t="n"/>
      <c r="G44" s="66" t="n"/>
      <c r="H44" s="66" t="n"/>
      <c r="I44" s="66" t="n"/>
      <c r="J44" s="68" t="n"/>
      <c r="M44" s="29" t="n"/>
    </row>
    <row r="45" ht="15.75" customHeight="1" s="81">
      <c r="B45" s="67" t="n"/>
      <c r="C45" s="66" t="n"/>
      <c r="D45" s="66" t="n"/>
      <c r="E45" s="66" t="n"/>
      <c r="F45" s="66" t="n"/>
      <c r="G45" s="66" t="n"/>
      <c r="H45" s="66" t="n"/>
      <c r="I45" s="66" t="n"/>
      <c r="J45" s="68" t="n"/>
      <c r="M45" s="29" t="n"/>
    </row>
    <row r="46" ht="15.75" customHeight="1" s="81">
      <c r="B46" s="67" t="n"/>
      <c r="C46" s="66" t="n"/>
      <c r="D46" s="66" t="n"/>
      <c r="E46" s="66" t="n"/>
      <c r="F46" s="66" t="n"/>
      <c r="G46" s="66" t="n"/>
      <c r="H46" s="66" t="n"/>
      <c r="I46" s="66" t="n"/>
      <c r="J46" s="68" t="n"/>
      <c r="M46" s="29" t="n"/>
    </row>
    <row r="47" ht="9.75" customHeight="1" s="81">
      <c r="B47" s="67" t="n"/>
      <c r="C47" s="66" t="n"/>
      <c r="D47" s="66" t="n"/>
      <c r="E47" s="66" t="n"/>
      <c r="F47" s="66" t="n"/>
      <c r="G47" s="66" t="n"/>
      <c r="H47" s="66" t="n"/>
      <c r="I47" s="66" t="n"/>
      <c r="J47" s="68" t="n"/>
      <c r="M47" s="29" t="n"/>
    </row>
    <row r="48" ht="15.75" customHeight="1" s="81">
      <c r="B48" s="67" t="n"/>
      <c r="C48" s="66" t="n"/>
      <c r="D48" s="66" t="n"/>
      <c r="E48" s="66" t="n"/>
      <c r="F48" s="66" t="n"/>
      <c r="G48" s="66" t="n"/>
      <c r="H48" s="66" t="n"/>
      <c r="I48" s="66" t="n"/>
      <c r="J48" s="68" t="n"/>
      <c r="M48" s="29" t="n"/>
    </row>
    <row r="49" ht="15.75" customHeight="1" s="81">
      <c r="B49" s="67" t="n"/>
      <c r="C49" s="66" t="n"/>
      <c r="D49" s="66" t="n"/>
      <c r="E49" s="66" t="n"/>
      <c r="F49" s="66" t="n"/>
      <c r="G49" s="66" t="n"/>
      <c r="H49" s="66" t="n"/>
      <c r="I49" s="66" t="n"/>
      <c r="J49" s="68" t="n"/>
      <c r="M49" s="29" t="n"/>
    </row>
    <row r="50" ht="15.75" customHeight="1" s="81">
      <c r="B50" s="67" t="n"/>
      <c r="C50" s="66" t="n"/>
      <c r="D50" s="66" t="n"/>
      <c r="E50" s="66" t="n"/>
      <c r="F50" s="66" t="n"/>
      <c r="G50" s="66" t="n"/>
      <c r="H50" s="66" t="n"/>
      <c r="I50" s="66" t="n"/>
      <c r="J50" s="68" t="n"/>
      <c r="M50" s="29" t="n"/>
    </row>
    <row r="51" ht="15.75" customHeight="1" s="81">
      <c r="B51" s="67" t="n"/>
      <c r="C51" s="66" t="n"/>
      <c r="D51" s="66" t="n"/>
      <c r="E51" s="66" t="n"/>
      <c r="F51" s="66" t="n"/>
      <c r="G51" s="66" t="n"/>
      <c r="H51" s="66" t="n"/>
      <c r="I51" s="66" t="n"/>
      <c r="J51" s="68" t="n"/>
      <c r="M51" s="29" t="n"/>
    </row>
    <row r="52" ht="15.75" customHeight="1" s="81">
      <c r="B52" s="67" t="n"/>
      <c r="C52" s="66" t="n"/>
      <c r="D52" s="66" t="n"/>
      <c r="E52" s="66" t="n"/>
      <c r="F52" s="66" t="n"/>
      <c r="G52" s="66" t="n"/>
      <c r="H52" s="66" t="n"/>
      <c r="I52" s="66" t="n"/>
      <c r="J52" s="68" t="n"/>
      <c r="M52" s="29" t="n"/>
    </row>
    <row r="53" ht="15.75" customHeight="1" s="81">
      <c r="B53" s="67" t="n"/>
      <c r="C53" s="66" t="n"/>
      <c r="D53" s="66" t="n"/>
      <c r="E53" s="66" t="n"/>
      <c r="F53" s="66" t="n"/>
      <c r="G53" s="66" t="n"/>
      <c r="H53" s="66" t="n"/>
      <c r="I53" s="66" t="n"/>
      <c r="J53" s="68" t="n"/>
      <c r="M53" s="29" t="n"/>
    </row>
    <row r="54" ht="15.75" customHeight="1" s="81">
      <c r="B54" s="67" t="n"/>
      <c r="C54" s="66" t="n"/>
      <c r="D54" s="66" t="n"/>
      <c r="E54" s="66" t="n"/>
      <c r="F54" s="66" t="n"/>
      <c r="G54" s="66" t="n"/>
      <c r="H54" s="66" t="n"/>
      <c r="I54" s="66" t="n"/>
      <c r="J54" s="68" t="n"/>
      <c r="M54" s="29" t="n"/>
    </row>
    <row r="55" ht="15.75" customHeight="1" s="81">
      <c r="B55" s="67" t="n"/>
      <c r="C55" s="66" t="n"/>
      <c r="D55" s="66" t="n"/>
      <c r="E55" s="66" t="n"/>
      <c r="F55" s="66" t="n"/>
      <c r="G55" s="66" t="n"/>
      <c r="H55" s="66" t="n"/>
      <c r="I55" s="66" t="n"/>
      <c r="J55" s="68" t="n"/>
      <c r="M55" s="29" t="n"/>
    </row>
    <row r="56" ht="15.75" customHeight="1" s="81">
      <c r="B56" s="67" t="n"/>
      <c r="C56" s="66" t="n"/>
      <c r="D56" s="66" t="n"/>
      <c r="E56" s="66" t="n"/>
      <c r="F56" s="66" t="n"/>
      <c r="G56" s="66" t="n"/>
      <c r="H56" s="66" t="inlineStr">
        <is>
          <t> </t>
        </is>
      </c>
      <c r="I56" s="66" t="n"/>
      <c r="J56" s="68" t="n"/>
      <c r="M56" s="29" t="n"/>
    </row>
    <row r="57" ht="15.75" customHeight="1" s="81">
      <c r="B57" s="67" t="n"/>
      <c r="C57" s="66" t="n"/>
      <c r="D57" s="66" t="n"/>
      <c r="E57" s="66" t="n"/>
      <c r="F57" s="66" t="n"/>
      <c r="G57" s="66" t="n"/>
      <c r="H57" s="66" t="n"/>
      <c r="I57" s="66" t="n"/>
      <c r="J57" s="68" t="n"/>
      <c r="M57" s="29" t="n"/>
    </row>
    <row r="58" ht="15.75" customHeight="1" s="81">
      <c r="B58" s="67" t="n"/>
      <c r="C58" s="66" t="n"/>
      <c r="D58" s="66" t="n"/>
      <c r="E58" s="66" t="n"/>
      <c r="F58" s="66" t="n"/>
      <c r="G58" s="66" t="n"/>
      <c r="H58" s="66" t="n"/>
      <c r="I58" s="66" t="n"/>
      <c r="M58" s="29" t="n"/>
    </row>
    <row r="59" ht="15.75" customHeight="1" s="81">
      <c r="B59" s="67" t="n"/>
      <c r="C59" s="66" t="n"/>
      <c r="D59" s="66" t="n"/>
      <c r="E59" s="66" t="n"/>
      <c r="F59" s="66" t="n"/>
      <c r="G59" s="66" t="n"/>
      <c r="H59" s="66" t="n"/>
      <c r="I59" s="66" t="n"/>
      <c r="M59" s="29" t="n"/>
    </row>
    <row r="60" ht="4.5" customHeight="1" s="81">
      <c r="B60" s="67" t="n"/>
      <c r="C60" s="66" t="n"/>
      <c r="D60" s="66" t="n"/>
      <c r="E60" s="66" t="n"/>
      <c r="F60" s="66" t="n"/>
      <c r="G60" s="66" t="n"/>
      <c r="H60" s="66" t="n"/>
      <c r="I60" s="66" t="n"/>
      <c r="M60" s="29" t="n"/>
    </row>
    <row r="61" ht="15.75" customHeight="1" s="81">
      <c r="B61" s="67" t="n"/>
      <c r="C61" s="66" t="n"/>
      <c r="D61" s="66" t="n"/>
      <c r="E61" s="66" t="n"/>
      <c r="F61" s="66" t="n"/>
      <c r="G61" s="66" t="n"/>
      <c r="H61" s="66" t="n"/>
      <c r="I61" s="66" t="n"/>
      <c r="M61" s="29" t="n"/>
    </row>
    <row r="62" ht="15.75" customHeight="1" s="81">
      <c r="B62" s="67" t="n"/>
      <c r="C62" s="66" t="n"/>
      <c r="D62" s="66" t="n"/>
      <c r="E62" s="66" t="n"/>
      <c r="F62" s="66" t="n"/>
      <c r="G62" s="66" t="n"/>
      <c r="H62" s="66" t="n"/>
      <c r="I62" s="66" t="n"/>
      <c r="M62" s="29" t="n"/>
    </row>
    <row r="63" ht="15.75" customHeight="1" s="81">
      <c r="B63" s="67" t="n"/>
      <c r="C63" s="59" t="n"/>
      <c r="D63" s="59" t="n"/>
      <c r="E63" s="59" t="n"/>
      <c r="F63" s="59" t="n"/>
      <c r="M63" s="29" t="n"/>
    </row>
    <row r="64" ht="15.75" customHeight="1" s="81">
      <c r="B64" s="67" t="n"/>
      <c r="C64" s="59" t="n"/>
      <c r="D64" s="59" t="n"/>
      <c r="E64" s="59" t="n"/>
      <c r="F64" s="59" t="n"/>
      <c r="M64" s="29" t="n"/>
    </row>
    <row r="65" ht="15.75" customHeight="1" s="81">
      <c r="B65" s="67" t="n"/>
      <c r="C65" s="59" t="n"/>
      <c r="D65" s="59" t="n"/>
      <c r="E65" s="59" t="n"/>
      <c r="F65" s="59" t="n"/>
      <c r="M65" s="29" t="n"/>
    </row>
    <row r="66" ht="15.75" customHeight="1" s="81">
      <c r="B66" s="67" t="n"/>
      <c r="C66" s="59" t="n"/>
      <c r="D66" s="59" t="n"/>
      <c r="E66" s="59" t="n"/>
      <c r="F66" s="59" t="n"/>
      <c r="M66" s="29" t="n"/>
    </row>
    <row r="67" ht="15.75" customHeight="1" s="81">
      <c r="B67" s="67" t="n"/>
      <c r="C67" s="59" t="n"/>
      <c r="D67" s="59" t="n"/>
      <c r="E67" s="59" t="n"/>
      <c r="F67" s="59" t="n"/>
      <c r="M67" s="29" t="n"/>
    </row>
  </sheetData>
  <mergeCells count="15">
    <mergeCell ref="B2:D3"/>
    <mergeCell ref="B8:H8"/>
    <mergeCell ref="B14:H14"/>
    <mergeCell ref="B17:H17"/>
    <mergeCell ref="B18:H18"/>
    <mergeCell ref="B9:H9"/>
    <mergeCell ref="B13:E13"/>
    <mergeCell ref="B12:H12"/>
    <mergeCell ref="B6:H6"/>
    <mergeCell ref="B16:H16"/>
    <mergeCell ref="B15:H15"/>
    <mergeCell ref="B7:H7"/>
    <mergeCell ref="B10:H10"/>
    <mergeCell ref="B11:H11"/>
    <mergeCell ref="B19:H19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026CB5"/>
    <outlinePr summaryBelow="1" summaryRight="1"/>
    <pageSetUpPr/>
  </sheetPr>
  <dimension ref="A1:M61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3.71" customWidth="1" style="81" min="1" max="1"/>
    <col width="15.57" customWidth="1" style="81" min="2" max="2"/>
    <col width="9.859999999999999" customWidth="1" style="81" min="3" max="3"/>
    <col width="9.43" customWidth="1" style="81" min="4" max="4"/>
    <col width="16.43" customWidth="1" style="81" min="5" max="5"/>
    <col width="10.71" customWidth="1" style="81" min="6" max="6"/>
    <col width="17.57" customWidth="1" style="81" min="7" max="7"/>
    <col width="18.29" customWidth="1" style="81" min="8" max="8"/>
    <col width="22.86" customWidth="1" style="81" min="9" max="9"/>
    <col width="17.86" customWidth="1" style="81" min="10" max="10"/>
    <col hidden="1" width="12.86" customWidth="1" style="81" min="11" max="11"/>
    <col width="4.14" customWidth="1" style="81" min="12" max="12"/>
    <col width="1.29" customWidth="1" style="81" min="13" max="13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31" t="n"/>
      <c r="L1" s="29" t="n"/>
      <c r="M1" s="29" t="n"/>
    </row>
    <row r="2" ht="15" customHeight="1" s="81">
      <c r="A2" s="29" t="n"/>
      <c r="B2" s="32" t="inlineStr">
        <is>
          <t>משקלי עבודה</t>
        </is>
      </c>
      <c r="E2" s="29" t="n"/>
      <c r="F2" s="29" t="n"/>
      <c r="G2" s="29" t="n"/>
      <c r="H2" s="29" t="n"/>
      <c r="I2" s="29" t="n"/>
      <c r="J2" s="29" t="n"/>
      <c r="K2" s="31" t="n"/>
      <c r="L2" s="29" t="n"/>
      <c r="M2" s="29" t="n"/>
    </row>
    <row r="3" ht="15" customHeight="1" s="81">
      <c r="A3" s="29" t="n"/>
      <c r="E3" s="29" t="n"/>
      <c r="F3" s="29" t="n"/>
      <c r="G3" s="29" t="n"/>
      <c r="H3" s="29" t="n"/>
      <c r="I3" s="29" t="n"/>
      <c r="J3" s="29" t="n"/>
      <c r="K3" s="31" t="n"/>
      <c r="L3" s="29" t="n"/>
      <c r="M3" s="29" t="n"/>
    </row>
    <row r="4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31" t="n"/>
      <c r="L4" s="29" t="n"/>
      <c r="M4" s="29" t="n"/>
    </row>
    <row r="5">
      <c r="B5" s="34" t="n"/>
      <c r="C5" s="34" t="n"/>
      <c r="D5" s="34" t="n"/>
      <c r="E5" s="34" t="n"/>
      <c r="F5" s="34" t="n"/>
      <c r="G5" s="34" t="n"/>
      <c r="M5" s="29" t="n"/>
    </row>
    <row r="6">
      <c r="B6" s="89" t="inlineStr">
        <is>
          <t>הוראות</t>
        </is>
      </c>
      <c r="C6" s="90" t="n"/>
      <c r="D6" s="90" t="n"/>
      <c r="E6" s="90" t="n"/>
      <c r="F6" s="90" t="n"/>
      <c r="G6" s="90" t="n"/>
      <c r="H6" s="91" t="n"/>
      <c r="I6" s="38" t="n"/>
      <c r="M6" s="29" t="n"/>
    </row>
    <row r="7">
      <c r="A7" s="39" t="n"/>
      <c r="B7" s="42" t="n"/>
      <c r="F7" s="70" t="n"/>
      <c r="G7" s="71" t="n"/>
      <c r="H7" s="72" t="n"/>
      <c r="M7" s="29" t="n"/>
    </row>
    <row r="8">
      <c r="A8" s="39" t="n"/>
      <c r="B8" s="97" t="inlineStr">
        <is>
          <t>אחת לשבוע להזין משקלי עבודה לפי התרגיל הראשון של אותו שריר</t>
        </is>
      </c>
      <c r="C8" s="98" t="n"/>
      <c r="D8" s="98" t="n"/>
      <c r="E8" s="98" t="n"/>
      <c r="F8" s="98" t="n"/>
      <c r="G8" s="98" t="n"/>
      <c r="H8" s="99" t="n"/>
      <c r="M8" s="29" t="n"/>
    </row>
    <row r="9">
      <c r="A9" s="39" t="n"/>
      <c r="B9" s="97" t="inlineStr">
        <is>
          <t>במידה והחלפת תרגיל להמשיך להזין באותה עמודה של התרגיל שהוחלף ולהוסיף ״!״ בפעם הראשונה</t>
        </is>
      </c>
      <c r="C9" s="98" t="n"/>
      <c r="D9" s="98" t="n"/>
      <c r="E9" s="98" t="n"/>
      <c r="F9" s="98" t="n"/>
      <c r="G9" s="98" t="n"/>
      <c r="H9" s="99" t="n"/>
      <c r="M9" s="29" t="n"/>
    </row>
    <row r="10">
      <c r="A10" s="39" t="n"/>
      <c r="B10" s="97" t="inlineStr">
        <is>
          <t>לרשום את המשקל שהצלחת לעשות בסט האחרון לפי המספר חזרות בתוכנית</t>
        </is>
      </c>
      <c r="C10" s="98" t="n"/>
      <c r="D10" s="98" t="n"/>
      <c r="E10" s="98" t="n"/>
      <c r="F10" s="98" t="n"/>
      <c r="G10" s="98" t="n"/>
      <c r="H10" s="99" t="n"/>
      <c r="M10" s="29" t="n"/>
    </row>
    <row r="11">
      <c r="A11" s="39" t="n"/>
      <c r="B11" s="73" t="n"/>
      <c r="C11" s="74" t="n"/>
      <c r="D11" s="74" t="n"/>
      <c r="E11" s="74" t="n"/>
      <c r="F11" s="74" t="n"/>
      <c r="G11" s="74" t="n"/>
      <c r="H11" s="75" t="n"/>
      <c r="M11" s="29" t="n"/>
    </row>
    <row r="12">
      <c r="A12" s="39" t="n"/>
      <c r="B12" s="76" t="n"/>
      <c r="C12" s="77" t="n"/>
      <c r="D12" s="77" t="n"/>
      <c r="E12" s="77" t="n"/>
      <c r="F12" s="77" t="n"/>
      <c r="G12" s="77" t="n"/>
      <c r="H12" s="78" t="n"/>
      <c r="M12" s="29" t="n"/>
    </row>
    <row r="13">
      <c r="B13" s="103" t="inlineStr">
        <is>
          <t>הנתונים בקובץ הם לדוגמא, יש לך מחוק ולהזין את המשקלי עבודה שלך</t>
        </is>
      </c>
      <c r="C13" s="104" t="n"/>
      <c r="D13" s="104" t="n"/>
      <c r="E13" s="104" t="n"/>
      <c r="F13" s="104" t="n"/>
      <c r="G13" s="104" t="n"/>
      <c r="H13" s="105" t="n"/>
      <c r="I13" s="34" t="n"/>
      <c r="J13" s="34" t="n"/>
      <c r="M13" s="29" t="n"/>
    </row>
    <row r="14">
      <c r="B14" s="34" t="n"/>
      <c r="C14" s="34" t="n"/>
      <c r="D14" s="34" t="n"/>
      <c r="F14" s="59" t="n"/>
      <c r="G14" s="34" t="n"/>
      <c r="H14" s="34" t="n"/>
      <c r="I14" s="34" t="n"/>
      <c r="J14" s="34" t="n"/>
      <c r="M14" s="29" t="n"/>
    </row>
    <row r="15" ht="3" customHeight="1" s="81">
      <c r="B15" s="59" t="n"/>
      <c r="C15" s="59" t="n"/>
      <c r="D15" s="60" t="n"/>
      <c r="F15" s="59" t="n"/>
      <c r="G15" s="34" t="n"/>
      <c r="H15" s="34" t="n"/>
      <c r="I15" s="34" t="n"/>
      <c r="J15" s="34" t="n"/>
      <c r="M15" s="29" t="n"/>
    </row>
    <row r="16">
      <c r="B16" s="79" t="inlineStr">
        <is>
          <t>יום המדידה</t>
        </is>
      </c>
      <c r="C16" s="61" t="inlineStr">
        <is>
          <t>חזה</t>
        </is>
      </c>
      <c r="D16" s="61" t="inlineStr">
        <is>
          <t>רגליים</t>
        </is>
      </c>
      <c r="E16" s="61" t="inlineStr">
        <is>
          <t>המסטרינג</t>
        </is>
      </c>
      <c r="F16" s="61" t="inlineStr">
        <is>
          <t>תאומים</t>
        </is>
      </c>
      <c r="G16" s="61" t="inlineStr">
        <is>
          <t>גב</t>
        </is>
      </c>
      <c r="H16" s="61" t="inlineStr">
        <is>
          <t>כתפיים</t>
        </is>
      </c>
      <c r="I16" s="61" t="inlineStr">
        <is>
          <t>יד קידמית</t>
        </is>
      </c>
      <c r="J16" s="80" t="inlineStr">
        <is>
          <t>יד אחורית</t>
        </is>
      </c>
      <c r="K16" s="61" t="inlineStr">
        <is>
          <t>יד (ממוצע)</t>
        </is>
      </c>
      <c r="M16" s="29" t="n"/>
    </row>
    <row r="17">
      <c r="B17" s="64" t="n">
        <v>44880</v>
      </c>
      <c r="C17" s="66" t="n">
        <v>50</v>
      </c>
      <c r="D17" s="66" t="n">
        <v>50</v>
      </c>
      <c r="E17" s="66" t="n">
        <v>80</v>
      </c>
      <c r="F17" s="66" t="n">
        <v>70</v>
      </c>
      <c r="G17" s="66" t="n">
        <v>60</v>
      </c>
      <c r="H17" s="66" t="n">
        <v>56</v>
      </c>
      <c r="I17" s="66" t="n">
        <v>20</v>
      </c>
      <c r="J17" s="66" t="n">
        <v>20</v>
      </c>
      <c r="K17" s="66">
        <f>AVERAGE(D17:E17)</f>
        <v/>
      </c>
      <c r="M17" s="29" t="n"/>
    </row>
    <row r="18">
      <c r="B18" s="64">
        <f>IF(B17="","",B17+7)</f>
        <v/>
      </c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>
        <f>AVERAGE(I18:J18)</f>
        <v/>
      </c>
      <c r="M18" s="29" t="n"/>
    </row>
    <row r="19">
      <c r="B19" s="64">
        <f>IF(B18="","",B18+7)</f>
        <v/>
      </c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>
        <f>AVERAGE(I19:J19)</f>
        <v/>
      </c>
      <c r="M19" s="29" t="n"/>
    </row>
    <row r="20">
      <c r="B20" s="64">
        <f>IF(B19="","",B19+7)</f>
        <v/>
      </c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>
        <f>AVERAGE(I20:J20)</f>
        <v/>
      </c>
      <c r="M20" s="29" t="n"/>
    </row>
    <row r="21">
      <c r="B21" s="64">
        <f>IF(B20="","",B20+7)</f>
        <v/>
      </c>
      <c r="I21" s="66" t="n"/>
      <c r="J21" s="66" t="n"/>
      <c r="K21" s="66">
        <f>AVERAGE(I21:J21)</f>
        <v/>
      </c>
      <c r="M21" s="29" t="n"/>
    </row>
    <row r="22" ht="15.75" customHeight="1" s="81">
      <c r="B22" s="64">
        <f>IF(B21="","",B21+7)</f>
        <v/>
      </c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>
        <f>AVERAGE(I22:J22)</f>
        <v/>
      </c>
      <c r="M22" s="29" t="n"/>
    </row>
    <row r="23" ht="15.75" customHeight="1" s="81">
      <c r="B23" s="64">
        <f>IF(B22="","",B22+7)</f>
        <v/>
      </c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>
        <f>AVERAGE(I23:J23)</f>
        <v/>
      </c>
      <c r="M23" s="29" t="n"/>
    </row>
    <row r="24" ht="15.75" customHeight="1" s="81">
      <c r="B24" s="64">
        <f>IF(B23="","",B23+7)</f>
        <v/>
      </c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>
        <f>AVERAGE(I24:J24)</f>
        <v/>
      </c>
      <c r="M24" s="29" t="n"/>
    </row>
    <row r="25" ht="15.75" customHeight="1" s="81">
      <c r="B25" s="64">
        <f>IF(B24="","",B24+7)</f>
        <v/>
      </c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>
        <f>AVERAGE(I25:J25)</f>
        <v/>
      </c>
      <c r="M25" s="29" t="n"/>
    </row>
    <row r="26" ht="15.75" customHeight="1" s="81">
      <c r="B26" s="64">
        <f>IF(B25="","",B25+7)</f>
        <v/>
      </c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>
        <f>AVERAGE(I26:J26)</f>
        <v/>
      </c>
      <c r="M26" s="29" t="n"/>
    </row>
    <row r="27" ht="15.75" customHeight="1" s="81">
      <c r="B27" s="64">
        <f>IF(B26="","",B26+7)</f>
        <v/>
      </c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>
        <f>AVERAGE(I27:J27)</f>
        <v/>
      </c>
      <c r="M27" s="29" t="n"/>
    </row>
    <row r="28" ht="15.75" customHeight="1" s="81">
      <c r="B28" s="64">
        <f>IF(B27="","",B27+7)</f>
        <v/>
      </c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>
        <f>AVERAGE(I28:J28)</f>
        <v/>
      </c>
      <c r="M28" s="29" t="n"/>
    </row>
    <row r="29" ht="15.75" customHeight="1" s="81">
      <c r="B29" s="64">
        <f>IF(B28="","",B28+7)</f>
        <v/>
      </c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>
        <f>AVERAGE(I29:J29)</f>
        <v/>
      </c>
      <c r="M29" s="29" t="n"/>
    </row>
    <row r="30" ht="15.75" customHeight="1" s="81">
      <c r="B30" s="64">
        <f>IF(B29="","",B29+7)</f>
        <v/>
      </c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>
        <f>AVERAGE(I30:J30)</f>
        <v/>
      </c>
      <c r="M30" s="29" t="n"/>
    </row>
    <row r="31" ht="15.75" customHeight="1" s="81">
      <c r="B31" s="67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>
        <f>AVERAGE(I31:J31)</f>
        <v/>
      </c>
      <c r="M31" s="29" t="n"/>
    </row>
    <row r="32" ht="15.75" customHeight="1" s="81">
      <c r="B32" s="67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>
        <f>AVERAGE(I32:J32)</f>
        <v/>
      </c>
      <c r="M32" s="29" t="n"/>
    </row>
    <row r="33" ht="15.75" customHeight="1" s="81">
      <c r="B33" s="67" t="n"/>
      <c r="C33" s="66" t="n"/>
      <c r="D33" s="66" t="n"/>
      <c r="E33" s="66" t="n"/>
      <c r="F33" s="66" t="n"/>
      <c r="G33" s="66" t="n"/>
      <c r="H33" s="66" t="n"/>
      <c r="I33" s="66" t="n"/>
      <c r="J33" s="68" t="n"/>
      <c r="M33" s="29" t="n"/>
    </row>
    <row r="34" ht="15.75" customHeight="1" s="81">
      <c r="B34" s="67" t="n"/>
      <c r="C34" s="66" t="n"/>
      <c r="D34" s="66" t="n"/>
      <c r="E34" s="66" t="n"/>
      <c r="F34" s="66" t="n"/>
      <c r="G34" s="66" t="n"/>
      <c r="H34" s="66" t="n"/>
      <c r="I34" s="66" t="n"/>
      <c r="J34" s="68" t="n"/>
      <c r="M34" s="29" t="n"/>
    </row>
    <row r="35" ht="15.75" customHeight="1" s="81">
      <c r="B35" s="67" t="n"/>
      <c r="C35" s="66" t="n"/>
      <c r="D35" s="66" t="n"/>
      <c r="E35" s="66" t="n"/>
      <c r="F35" s="66" t="n"/>
      <c r="G35" s="66" t="n"/>
      <c r="H35" s="66" t="n"/>
      <c r="I35" s="66" t="n"/>
      <c r="J35" s="68" t="n"/>
      <c r="M35" s="29" t="n"/>
    </row>
    <row r="36" ht="15.75" customHeight="1" s="81">
      <c r="B36" s="69" t="n"/>
      <c r="C36" s="66" t="n"/>
      <c r="D36" s="66" t="n"/>
      <c r="E36" s="66" t="n"/>
      <c r="F36" s="66" t="n"/>
      <c r="G36" s="66" t="n"/>
      <c r="H36" s="66" t="n"/>
      <c r="I36" s="66" t="n"/>
      <c r="J36" s="68" t="n"/>
      <c r="M36" s="29" t="n"/>
    </row>
    <row r="37" ht="15.75" customHeight="1" s="81">
      <c r="B37" s="67" t="n"/>
      <c r="C37" s="66" t="n"/>
      <c r="D37" s="66" t="n"/>
      <c r="E37" s="66" t="n"/>
      <c r="F37" s="66" t="n"/>
      <c r="G37" s="66" t="n"/>
      <c r="H37" s="66" t="n"/>
      <c r="I37" s="66" t="n"/>
      <c r="J37" s="68" t="n"/>
      <c r="M37" s="29" t="n"/>
    </row>
    <row r="38" ht="15.75" customHeight="1" s="81">
      <c r="B38" s="67" t="n"/>
      <c r="C38" s="66" t="n"/>
      <c r="D38" s="66" t="n"/>
      <c r="E38" s="66" t="n"/>
      <c r="F38" s="66" t="n"/>
      <c r="G38" s="66" t="n"/>
      <c r="H38" s="66" t="n"/>
      <c r="I38" s="66" t="n"/>
      <c r="J38" s="68" t="n"/>
      <c r="M38" s="29" t="n"/>
    </row>
    <row r="39" ht="15.75" customHeight="1" s="81">
      <c r="B39" s="67" t="n"/>
      <c r="C39" s="66" t="n"/>
      <c r="D39" s="66" t="n"/>
      <c r="E39" s="66" t="n"/>
      <c r="F39" s="66" t="n"/>
      <c r="G39" s="66" t="n"/>
      <c r="H39" s="66" t="n"/>
      <c r="I39" s="66" t="n"/>
      <c r="J39" s="68" t="n"/>
      <c r="M39" s="29" t="n"/>
    </row>
    <row r="40" ht="15.75" customHeight="1" s="81">
      <c r="B40" s="67" t="n"/>
      <c r="C40" s="66" t="n"/>
      <c r="D40" s="66" t="n"/>
      <c r="E40" s="66" t="n"/>
      <c r="F40" s="66" t="n"/>
      <c r="G40" s="66" t="n"/>
      <c r="H40" s="66" t="n"/>
      <c r="I40" s="66" t="n"/>
      <c r="J40" s="68" t="n"/>
      <c r="M40" s="29" t="n"/>
    </row>
    <row r="41" ht="9.75" customHeight="1" s="81">
      <c r="B41" s="67" t="n"/>
      <c r="C41" s="66" t="n"/>
      <c r="D41" s="66" t="n"/>
      <c r="E41" s="66" t="n"/>
      <c r="F41" s="66" t="n"/>
      <c r="G41" s="66" t="n"/>
      <c r="H41" s="66" t="n"/>
      <c r="I41" s="66" t="n"/>
      <c r="J41" s="68" t="n"/>
      <c r="M41" s="29" t="n"/>
    </row>
    <row r="42" ht="15.75" customHeight="1" s="81">
      <c r="B42" s="67" t="n"/>
      <c r="C42" s="66" t="n"/>
      <c r="D42" s="66" t="n"/>
      <c r="E42" s="66" t="n"/>
      <c r="F42" s="66" t="n"/>
      <c r="G42" s="66" t="n"/>
      <c r="H42" s="66" t="n"/>
      <c r="I42" s="66" t="n"/>
      <c r="J42" s="68" t="n"/>
      <c r="M42" s="29" t="n"/>
    </row>
    <row r="43" ht="15.75" customHeight="1" s="81">
      <c r="B43" s="67" t="n"/>
      <c r="C43" s="66" t="n"/>
      <c r="D43" s="66" t="n"/>
      <c r="E43" s="66" t="n"/>
      <c r="F43" s="66" t="n"/>
      <c r="G43" s="66" t="n"/>
      <c r="H43" s="66" t="n"/>
      <c r="I43" s="66" t="n"/>
      <c r="J43" s="68" t="n"/>
      <c r="M43" s="29" t="n"/>
    </row>
    <row r="44" ht="15.75" customHeight="1" s="81">
      <c r="B44" s="67" t="n"/>
      <c r="C44" s="66" t="n"/>
      <c r="D44" s="66" t="n"/>
      <c r="E44" s="66" t="n"/>
      <c r="F44" s="66" t="n"/>
      <c r="G44" s="66" t="n"/>
      <c r="H44" s="66" t="n"/>
      <c r="I44" s="66" t="n"/>
      <c r="J44" s="68" t="n"/>
      <c r="M44" s="29" t="n"/>
    </row>
    <row r="45" ht="15.75" customHeight="1" s="81">
      <c r="B45" s="67" t="n"/>
      <c r="C45" s="66" t="n"/>
      <c r="D45" s="66" t="n"/>
      <c r="E45" s="66" t="n"/>
      <c r="F45" s="66" t="n"/>
      <c r="G45" s="66" t="n"/>
      <c r="H45" s="66" t="n"/>
      <c r="I45" s="66" t="n"/>
      <c r="J45" s="68" t="n"/>
      <c r="M45" s="29" t="n"/>
    </row>
    <row r="46" ht="15.75" customHeight="1" s="81">
      <c r="B46" s="67" t="n"/>
      <c r="C46" s="66" t="n"/>
      <c r="D46" s="66" t="n"/>
      <c r="E46" s="66" t="n"/>
      <c r="F46" s="66" t="n"/>
      <c r="G46" s="66" t="n"/>
      <c r="H46" s="66" t="n"/>
      <c r="I46" s="66" t="n"/>
      <c r="J46" s="68" t="n"/>
      <c r="M46" s="29" t="n"/>
    </row>
    <row r="47" ht="15.75" customHeight="1" s="81">
      <c r="B47" s="67" t="n"/>
      <c r="C47" s="66" t="n"/>
      <c r="D47" s="66" t="n"/>
      <c r="E47" s="66" t="n"/>
      <c r="F47" s="66" t="n"/>
      <c r="G47" s="66" t="n"/>
      <c r="H47" s="66" t="n"/>
      <c r="I47" s="66" t="n"/>
      <c r="J47" s="68" t="n"/>
      <c r="M47" s="29" t="n"/>
    </row>
    <row r="48" ht="15.75" customHeight="1" s="81">
      <c r="B48" s="67" t="n"/>
      <c r="C48" s="66" t="n"/>
      <c r="D48" s="66" t="n"/>
      <c r="E48" s="66" t="n"/>
      <c r="F48" s="66" t="n"/>
      <c r="G48" s="66" t="n"/>
      <c r="H48" s="66" t="n"/>
      <c r="I48" s="66" t="n"/>
      <c r="J48" s="68" t="n"/>
      <c r="M48" s="29" t="n"/>
    </row>
    <row r="49" ht="15.75" customHeight="1" s="81">
      <c r="B49" s="67" t="n"/>
      <c r="C49" s="66" t="n"/>
      <c r="D49" s="66" t="n"/>
      <c r="E49" s="66" t="n"/>
      <c r="F49" s="66" t="n"/>
      <c r="G49" s="66" t="n"/>
      <c r="H49" s="66" t="n"/>
      <c r="I49" s="66" t="n"/>
      <c r="J49" s="68" t="n"/>
      <c r="M49" s="29" t="n"/>
    </row>
    <row r="50" ht="15.75" customHeight="1" s="81">
      <c r="B50" s="67" t="n"/>
      <c r="C50" s="66" t="n"/>
      <c r="D50" s="66" t="n"/>
      <c r="E50" s="66" t="n"/>
      <c r="F50" s="66" t="n"/>
      <c r="G50" s="66" t="n"/>
      <c r="H50" s="66" t="inlineStr">
        <is>
          <t> </t>
        </is>
      </c>
      <c r="I50" s="66" t="n"/>
      <c r="J50" s="68" t="n"/>
      <c r="M50" s="29" t="n"/>
    </row>
    <row r="51" ht="15.75" customHeight="1" s="81">
      <c r="B51" s="67" t="n"/>
      <c r="C51" s="66" t="n"/>
      <c r="D51" s="66" t="n"/>
      <c r="E51" s="66" t="n"/>
      <c r="F51" s="66" t="n"/>
      <c r="G51" s="66" t="n"/>
      <c r="H51" s="66" t="n"/>
      <c r="I51" s="66" t="n"/>
      <c r="J51" s="68" t="n"/>
      <c r="M51" s="29" t="n"/>
    </row>
    <row r="52" ht="15.75" customHeight="1" s="81">
      <c r="B52" s="67" t="n"/>
      <c r="C52" s="66" t="n"/>
      <c r="D52" s="66" t="n"/>
      <c r="E52" s="66" t="n"/>
      <c r="F52" s="66" t="n"/>
      <c r="G52" s="66" t="n"/>
      <c r="H52" s="66" t="n"/>
      <c r="I52" s="66" t="n"/>
      <c r="M52" s="29" t="n"/>
    </row>
    <row r="53" ht="15.75" customHeight="1" s="81">
      <c r="B53" s="67" t="n"/>
      <c r="C53" s="66" t="n"/>
      <c r="D53" s="66" t="n"/>
      <c r="E53" s="66" t="n"/>
      <c r="F53" s="66" t="n"/>
      <c r="G53" s="66" t="n"/>
      <c r="H53" s="66" t="n"/>
      <c r="I53" s="66" t="n"/>
      <c r="M53" s="29" t="n"/>
    </row>
    <row r="54" ht="4.5" customHeight="1" s="81">
      <c r="B54" s="67" t="n"/>
      <c r="C54" s="66" t="n"/>
      <c r="D54" s="66" t="n"/>
      <c r="E54" s="66" t="n"/>
      <c r="F54" s="66" t="n"/>
      <c r="G54" s="66" t="n"/>
      <c r="H54" s="66" t="n"/>
      <c r="I54" s="66" t="n"/>
      <c r="M54" s="29" t="n"/>
    </row>
    <row r="55" ht="15.75" customHeight="1" s="81">
      <c r="B55" s="67" t="n"/>
      <c r="C55" s="66" t="n"/>
      <c r="D55" s="66" t="n"/>
      <c r="E55" s="66" t="n"/>
      <c r="F55" s="66" t="n"/>
      <c r="G55" s="66" t="n"/>
      <c r="H55" s="66" t="n"/>
      <c r="I55" s="66" t="n"/>
      <c r="M55" s="29" t="n"/>
    </row>
    <row r="56" ht="15.75" customHeight="1" s="81">
      <c r="B56" s="67" t="n"/>
      <c r="C56" s="66" t="n"/>
      <c r="D56" s="66" t="n"/>
      <c r="E56" s="66" t="n"/>
      <c r="F56" s="66" t="n"/>
      <c r="G56" s="66" t="n"/>
      <c r="H56" s="66" t="n"/>
      <c r="I56" s="66" t="n"/>
      <c r="M56" s="29" t="n"/>
    </row>
    <row r="57" ht="15.75" customHeight="1" s="81">
      <c r="B57" s="67" t="n"/>
      <c r="C57" s="59" t="n"/>
      <c r="D57" s="59" t="n"/>
      <c r="E57" s="59" t="n"/>
      <c r="F57" s="59" t="n"/>
      <c r="M57" s="29" t="n"/>
    </row>
    <row r="58" ht="15.75" customHeight="1" s="81">
      <c r="B58" s="67" t="n"/>
      <c r="C58" s="59" t="n"/>
      <c r="D58" s="59" t="n"/>
      <c r="E58" s="59" t="n"/>
      <c r="F58" s="59" t="n"/>
      <c r="M58" s="29" t="n"/>
    </row>
    <row r="59" ht="15.75" customHeight="1" s="81">
      <c r="B59" s="67" t="n"/>
      <c r="C59" s="59" t="n"/>
      <c r="D59" s="59" t="n"/>
      <c r="E59" s="59" t="n"/>
      <c r="F59" s="59" t="n"/>
      <c r="M59" s="29" t="n"/>
    </row>
    <row r="60" ht="15.75" customHeight="1" s="81">
      <c r="B60" s="67" t="n"/>
      <c r="C60" s="59" t="n"/>
      <c r="D60" s="59" t="n"/>
      <c r="E60" s="59" t="n"/>
      <c r="F60" s="59" t="n"/>
      <c r="M60" s="29" t="n"/>
    </row>
    <row r="61" ht="15.75" customHeight="1" s="81">
      <c r="B61" s="67" t="n"/>
      <c r="C61" s="59" t="n"/>
      <c r="D61" s="59" t="n"/>
      <c r="E61" s="59" t="n"/>
      <c r="F61" s="59" t="n"/>
      <c r="M61" s="29" t="n"/>
    </row>
  </sheetData>
  <mergeCells count="7">
    <mergeCell ref="B2:D3"/>
    <mergeCell ref="B8:H8"/>
    <mergeCell ref="B9:H9"/>
    <mergeCell ref="B13:H13"/>
    <mergeCell ref="B6:H6"/>
    <mergeCell ref="B7:E7"/>
    <mergeCell ref="B10:H10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2026-07-06T08:00:08Z</dcterms:modified>
</cp:coreProperties>
</file>